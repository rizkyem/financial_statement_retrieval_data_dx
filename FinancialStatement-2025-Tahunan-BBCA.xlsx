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https://d.docs.live.net/8d655e1ed7836301/python/retrieving_fs_idx/financial_statement/2025/Audit/"/>
    </mc:Choice>
  </mc:AlternateContent>
  <xr:revisionPtr revIDLastSave="2" documentId="13_ncr:1_{96124673-D05E-445B-9152-F34E695E4B86}" xr6:coauthVersionLast="47" xr6:coauthVersionMax="47" xr10:uidLastSave="{3CF15FB5-B63D-124F-896E-FFEF7724ED03}"/>
  <bookViews>
    <workbookView xWindow="0" yWindow="0" windowWidth="28800" windowHeight="18000" firstSheet="10" activeTab="44" xr2:uid="{7F33F536-0453-4284-A986-E3C84C18456E}"/>
  </bookViews>
  <sheets>
    <sheet name="Context" sheetId="1" state="veryHidden" r:id="rId1"/>
    <sheet name="InlineXBRL" sheetId="2" state="veryHidden" r:id="rId2"/>
    <sheet name="1000000" sheetId="3" r:id="rId3"/>
    <sheet name="4220000" sheetId="6" r:id="rId4"/>
    <sheet name="4312000" sheetId="7" state="veryHidden" r:id="rId5"/>
    <sheet name="4322000" sheetId="8" r:id="rId6"/>
    <sheet name="4410000" sheetId="9" r:id="rId7"/>
    <sheet name="4410000PY" sheetId="10" r:id="rId8"/>
    <sheet name="4510000" sheetId="11" r:id="rId9"/>
    <sheet name="4520000" sheetId="12" state="veryHidden" r:id="rId10"/>
    <sheet name="4610000" sheetId="13" r:id="rId11"/>
    <sheet name="4611000" sheetId="14" r:id="rId12"/>
    <sheet name="4611000PY" sheetId="15" r:id="rId13"/>
    <sheet name="4611100" sheetId="16" r:id="rId14"/>
    <sheet name="4611100a" sheetId="17" state="veryHidden" r:id="rId15"/>
    <sheet name="4611200a" sheetId="18" state="veryHidden" r:id="rId16"/>
    <sheet name="4612000" sheetId="19" state="veryHidden" r:id="rId17"/>
    <sheet name="4612000PY" sheetId="20" state="veryHidden" r:id="rId18"/>
    <sheet name="4612100" sheetId="21" state="veryHidden" r:id="rId19"/>
    <sheet name="4612100a" sheetId="22" state="veryHidden" r:id="rId20"/>
    <sheet name="4612200a" sheetId="23" state="veryHidden" r:id="rId21"/>
    <sheet name="4613100a" sheetId="24" state="veryHidden" r:id="rId22"/>
    <sheet name="4613200a" sheetId="25" state="veryHidden" r:id="rId23"/>
    <sheet name="4614100" sheetId="26" r:id="rId24"/>
    <sheet name="4614110" sheetId="27" r:id="rId25"/>
    <sheet name="4614200" sheetId="28" state="veryHidden" r:id="rId26"/>
    <sheet name="4614210" sheetId="29" state="veryHidden" r:id="rId27"/>
    <sheet name="4621100" sheetId="30" r:id="rId28"/>
    <sheet name="4622100" sheetId="31" r:id="rId29"/>
    <sheet name="4623100" sheetId="32" r:id="rId30"/>
    <sheet name="4624100" sheetId="33" r:id="rId31"/>
    <sheet name="4624110" sheetId="34" r:id="rId32"/>
    <sheet name="4625100" sheetId="35" state="veryHidden" r:id="rId33"/>
    <sheet name="4626100" sheetId="36" state="veryHidden" r:id="rId34"/>
    <sheet name="4626110" sheetId="37" state="veryHidden" r:id="rId35"/>
    <sheet name="4631100" sheetId="38" r:id="rId36"/>
    <sheet name="4631110" sheetId="39" r:id="rId37"/>
    <sheet name="4632100" sheetId="40" r:id="rId38"/>
    <sheet name="4632110" sheetId="41" r:id="rId39"/>
    <sheet name="4634000a" sheetId="42" state="veryHidden" r:id="rId40"/>
    <sheet name="4634100" sheetId="43" state="veryHidden" r:id="rId41"/>
    <sheet name="4644000a" sheetId="44" state="veryHidden" r:id="rId42"/>
    <sheet name="4644100" sheetId="45" state="veryHidden" r:id="rId43"/>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<sst xmlns="http://schemas.openxmlformats.org/spreadsheetml/2006/main" count="6405" uniqueCount="2182">
  <si>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</si>
  <si>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</si>
  <si>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</si>
  <si>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</si>
  <si>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</si>
  <si>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</si>
  <si>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</si>
  <si>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</si>
  <si>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</si>
  <si>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</si>
  <si>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</si>
  <si>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</si>
  <si>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</si>
  <si>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</si>
  <si>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</si>
  <si>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</si>
  <si>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</si>
  <si>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</si>
  <si>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</si>
  <si>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</si>
  <si>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</si>
  <si>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</si>
  <si>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</si>
  <si>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</si>
  <si>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</si>
  <si>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</si>
  <si>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</si>
  <si>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</si>
  <si>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</si>
  <si>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</si>
  <si>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</si>
  <si>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</si>
  <si>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</si>
  <si>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</si>
  <si>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</si>
  <si>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</si>
  <si>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</si>
  <si>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</si>
  <si>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</si>
  <si>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</si>
  <si>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</si>
  <si>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</si>
  <si>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</si>
  <si>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</si>
  <si>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</si>
  <si>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</si>
  <si>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</si>
  <si>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</si>
  <si>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</si>
  <si>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</si>
  <si>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</si>
  <si>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</si>
  <si>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</si>
  <si>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</si>
  <si>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</si>
  <si>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</si>
  <si>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</si>
  <si>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</si>
  <si>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</si>
  <si>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</si>
  <si>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</si>
  <si>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</si>
  <si>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</si>
  <si>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</si>
  <si>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</si>
  <si>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</si>
  <si>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</si>
  <si>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</si>
  <si>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</si>
  <si>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</si>
  <si>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</si>
  <si>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</si>
  <si>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</si>
  <si>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</si>
  <si>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</si>
  <si>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</si>
  <si>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</si>
  <si>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</si>
  <si>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</si>
  <si>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</si>
  <si>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</si>
  <si>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</si>
  <si>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</si>
  <si>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</si>
  <si>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</si>
  <si>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</si>
  <si>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</si>
  <si>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</si>
  <si>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</si>
  <si>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</si>
  <si>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</si>
  <si>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</si>
  <si>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</si>
  <si>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</si>
  <si>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</si>
  <si>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</si>
  <si>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</si>
  <si>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</si>
  <si>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</si>
  <si>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</si>
  <si>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</si>
  <si>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</si>
  <si>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</si>
  <si>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</si>
  <si>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</si>
  <si>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</si>
  <si>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</si>
  <si>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</si>
  <si>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</si>
  <si>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</si>
  <si>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</si>
  <si>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</si>
  <si>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</si>
  <si>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</si>
  <si>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</si>
  <si>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</si>
  <si>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</si>
  <si>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</si>
  <si>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</si>
  <si>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</si>
  <si>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</si>
  <si>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</si>
  <si>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</si>
  <si>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</si>
  <si>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</si>
  <si>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</si>
  <si>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</si>
  <si>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</si>
  <si>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</si>
  <si>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</si>
  <si>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</si>
  <si>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</si>
  <si>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</si>
  <si>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</si>
  <si>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</si>
  <si>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</si>
  <si>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</si>
  <si>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</si>
  <si>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</si>
  <si>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</si>
  <si>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</si>
  <si>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</si>
  <si>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</si>
  <si>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</si>
  <si>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</si>
  <si>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</si>
  <si>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</si>
  <si>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</si>
  <si>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</si>
  <si>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</si>
  <si>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</si>
  <si>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</si>
  <si>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</si>
  <si>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</si>
  <si>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</si>
  <si>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</si>
  <si>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</si>
  <si>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</si>
  <si>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</si>
  <si>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</si>
  <si>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</si>
  <si>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</si>
  <si>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</si>
  <si>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</si>
  <si>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</si>
  <si>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</si>
  <si>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</si>
  <si>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</si>
  <si>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</si>
  <si>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</si>
  <si>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</si>
  <si>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</si>
  <si>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</si>
  <si>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</si>
  <si>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</si>
  <si>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</si>
  <si>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</si>
  <si>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</si>
  <si>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</si>
  <si>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</si>
  <si>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</si>
  <si>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</si>
  <si>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</si>
  <si>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</si>
  <si>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</si>
  <si>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</si>
  <si>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</si>
  <si>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</si>
  <si>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</si>
  <si>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</si>
  <si>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</si>
  <si>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</si>
  <si>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</si>
  <si>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</si>
  <si>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</si>
  <si>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</si>
  <si>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</si>
  <si>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</si>
  <si>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</si>
  <si>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</si>
  <si>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</si>
  <si>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</si>
  <si>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</si>
  <si>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</si>
  <si>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</si>
  <si>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</si>
  <si>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</si>
  <si>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</si>
  <si>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</si>
  <si>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</si>
  <si>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</si>
  <si>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</si>
  <si>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</si>
  <si>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</si>
  <si>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</si>
  <si>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</si>
  <si>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</si>
  <si>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</si>
  <si>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</si>
  <si>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</si>
  <si>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</si>
  <si>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</si>
  <si>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</si>
  <si>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</si>
  <si>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</si>
  <si>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</si>
  <si>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</si>
  <si>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</si>
  <si>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</si>
  <si>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</si>
  <si>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</si>
  <si>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</si>
  <si>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</si>
  <si>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</si>
  <si>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</si>
  <si>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</si>
  <si>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</si>
  <si>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</si>
  <si>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</si>
  <si>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</si>
  <si>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</si>
  <si>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</si>
  <si>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</si>
  <si>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</si>
  <si>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</si>
  <si>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</si>
  <si>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</si>
  <si>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</si>
  <si>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</si>
  <si>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</si>
  <si>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</si>
  <si>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</si>
  <si>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</si>
  <si>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</si>
  <si>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</si>
  <si>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</si>
  <si>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</si>
  <si>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</si>
  <si>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</si>
  <si>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</si>
  <si>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</si>
  <si>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</si>
  <si>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</si>
  <si>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</si>
  <si>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</si>
  <si>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</si>
  <si>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</si>
  <si>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</si>
  <si>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</si>
  <si>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</si>
  <si>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</si>
  <si>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</si>
  <si>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</si>
  <si>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</si>
  <si>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</si>
  <si>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</si>
  <si>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</si>
  <si>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</si>
  <si>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</si>
  <si>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</si>
  <si>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</si>
  <si>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</si>
  <si>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</si>
  <si>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</si>
  <si>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</si>
  <si>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</si>
  <si>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</si>
  <si>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</si>
  <si>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</si>
  <si>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</si>
  <si>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</si>
  <si>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</si>
  <si>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</si>
  <si>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</si>
  <si>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</si>
  <si>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</si>
  <si>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</si>
  <si>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</si>
  <si>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</si>
  <si>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</si>
  <si>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</si>
  <si>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</si>
  <si>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</si>
  <si>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</si>
  <si>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</si>
  <si>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</si>
  <si>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</si>
  <si>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</si>
  <si>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</si>
  <si>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</si>
  <si>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</si>
  <si>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</si>
  <si>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</si>
  <si>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</si>
  <si>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</si>
  <si>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</si>
  <si>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</si>
  <si>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</si>
  <si>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</si>
  <si>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</si>
  <si>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</si>
  <si>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</si>
  <si>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</si>
  <si>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</si>
  <si>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</si>
  <si>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</si>
  <si>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</si>
  <si>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</si>
  <si>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</si>
  <si>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</si>
  <si>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</si>
  <si>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</si>
  <si>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</si>
  <si>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</si>
  <si>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</si>
  <si>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</si>
  <si>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</si>
  <si>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</si>
  <si>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</si>
  <si>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</si>
  <si>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</si>
  <si>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</si>
  <si>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</si>
  <si>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</si>
  <si>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</si>
  <si>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</si>
  <si>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</si>
  <si>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</si>
  <si>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</si>
  <si>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</si>
  <si>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</si>
  <si>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</si>
  <si>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</si>
  <si>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</si>
  <si>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</si>
  <si>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</si>
  <si>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</si>
  <si>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</si>
  <si>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</si>
  <si>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</si>
  <si>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</si>
  <si>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</si>
  <si>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</si>
  <si>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</si>
  <si>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</si>
  <si>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</si>
  <si>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</si>
  <si>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</si>
  <si>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</si>
  <si>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</si>
  <si>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</si>
  <si>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</si>
  <si>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</si>
  <si>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</si>
  <si>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</si>
  <si>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</si>
  <si>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</si>
  <si>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</si>
  <si>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</si>
  <si>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</si>
  <si>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</si>
  <si>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</si>
  <si>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</si>
  <si>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</si>
  <si>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</si>
  <si>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</si>
  <si>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</si>
  <si>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</si>
  <si>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</si>
  <si>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</si>
  <si>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</si>
  <si>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</si>
  <si>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</si>
  <si>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</si>
  <si>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</si>
  <si>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</si>
  <si>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</si>
  <si>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</si>
  <si>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</si>
  <si>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</si>
  <si>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</si>
  <si>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</si>
  <si>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</si>
  <si>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</si>
  <si>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</si>
  <si>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</si>
  <si>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</si>
  <si>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</si>
  <si>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</si>
  <si>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</si>
  <si>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</si>
  <si>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</si>
  <si>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</si>
  <si>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</si>
  <si>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</si>
  <si>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</si>
  <si>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</si>
  <si>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</si>
  <si>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</si>
  <si>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</si>
  <si>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</si>
  <si>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</si>
  <si>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</si>
  <si>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</si>
  <si>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</si>
  <si>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</si>
  <si>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</si>
  <si>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</si>
  <si>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</si>
  <si>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</si>
  <si>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</si>
  <si>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</si>
  <si>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</si>
  <si>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</si>
  <si>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</si>
  <si>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</si>
  <si>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</si>
  <si>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</si>
  <si>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</si>
  <si>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</si>
  <si>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</si>
  <si>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</si>
  <si>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</si>
  <si>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</si>
  <si>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</si>
  <si>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</si>
  <si>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</si>
  <si>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</si>
  <si>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</si>
  <si>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</si>
  <si>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</si>
  <si>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</si>
  <si>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</si>
  <si>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</si>
  <si>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</si>
  <si>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</si>
  <si>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</si>
  <si>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</si>
  <si>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</si>
  <si>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</si>
  <si>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</si>
  <si>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</si>
  <si>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</si>
  <si>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</si>
  <si>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</si>
  <si>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</si>
  <si>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</si>
  <si>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</si>
  <si>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</si>
  <si>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</si>
  <si>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</si>
  <si>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</si>
  <si>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</si>
  <si>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</si>
  <si>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</si>
  <si>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</si>
  <si>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</si>
  <si>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</si>
  <si>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</si>
  <si>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</si>
  <si>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</si>
  <si>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</si>
  <si>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</si>
  <si>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</si>
  <si>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</si>
  <si>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</si>
  <si>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</si>
  <si>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</si>
  <si>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</si>
  <si>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</si>
  <si>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</si>
  <si>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</si>
  <si>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</si>
  <si>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</si>
  <si>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</si>
  <si>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</si>
  <si>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</si>
  <si>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</si>
  <si>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</si>
  <si>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</si>
  <si>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</si>
  <si>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</si>
  <si>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</si>
  <si>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</si>
  <si>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</si>
  <si>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</si>
  <si>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</si>
  <si>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</si>
  <si>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</si>
  <si>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</si>
  <si>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</si>
  <si>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</si>
  <si>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</si>
  <si>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</si>
  <si>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</si>
  <si>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</si>
  <si>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</si>
  <si>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</si>
  <si>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</si>
  <si>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</si>
  <si>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</si>
  <si>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</si>
  <si>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</si>
  <si>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</si>
  <si>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</si>
  <si>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</si>
  <si>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</si>
  <si>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</si>
  <si>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</si>
  <si>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</si>
  <si>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</si>
  <si>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</si>
  <si>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</si>
  <si>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</si>
  <si>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</si>
  <si>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</si>
  <si>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</si>
  <si>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</si>
  <si>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</si>
  <si>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</si>
  <si>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</si>
  <si>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</si>
  <si>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</si>
  <si>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</si>
  <si>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</si>
  <si>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</si>
  <si>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</si>
  <si>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</si>
  <si>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</si>
  <si>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</si>
  <si>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</si>
  <si>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</si>
  <si>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</si>
  <si>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</si>
  <si>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</si>
  <si>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</si>
  <si>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</si>
  <si>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</si>
  <si>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</si>
  <si>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</si>
  <si>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</si>
  <si>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</si>
  <si>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</si>
  <si>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</si>
  <si>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</si>
  <si>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</si>
  <si>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</si>
  <si>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</si>
  <si>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</si>
  <si>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</si>
  <si>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</si>
  <si>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</si>
  <si>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</si>
  <si>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</si>
  <si>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</si>
  <si>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</si>
  <si>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</si>
  <si>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</si>
  <si>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</si>
  <si>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</si>
  <si>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</si>
  <si>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</si>
  <si>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</si>
  <si>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</si>
  <si>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</si>
  <si>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</si>
  <si>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</si>
  <si>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</si>
  <si>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</si>
  <si>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</si>
  <si>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</si>
  <si>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</si>
  <si>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</si>
  <si>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</si>
  <si>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</si>
  <si>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</si>
  <si>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</si>
  <si>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</si>
  <si>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</si>
  <si>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</si>
  <si>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</si>
  <si>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</si>
  <si>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</si>
  <si>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</si>
  <si>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</si>
  <si>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</si>
  <si>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</si>
  <si>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</si>
  <si>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</si>
  <si>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</si>
  <si>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</si>
  <si>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</si>
  <si>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</si>
  <si>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</si>
  <si>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</si>
  <si>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</si>
  <si>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</si>
  <si>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</si>
  <si>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</si>
  <si>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</si>
  <si>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</si>
  <si>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</si>
  <si>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</si>
  <si>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</si>
  <si>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</si>
  <si>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</si>
  <si>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</si>
  <si>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</si>
  <si>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</si>
  <si>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</si>
  <si>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</si>
  <si>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</si>
  <si>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</si>
  <si>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</si>
  <si>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</si>
  <si>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</si>
  <si>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</si>
  <si>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</si>
  <si>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</si>
  <si>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</si>
  <si>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</si>
  <si>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</si>
  <si>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</si>
  <si>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</si>
  <si>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</si>
  <si>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</si>
  <si>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</si>
  <si>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</si>
  <si>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</si>
  <si>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</si>
  <si>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</si>
  <si>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</si>
  <si>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</si>
  <si>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</si>
  <si>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</si>
  <si>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</si>
  <si>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</si>
  <si>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</si>
  <si>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</si>
  <si>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</si>
  <si>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</si>
  <si>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</si>
  <si>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</si>
  <si>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</si>
  <si>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</si>
  <si>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</si>
  <si>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</si>
  <si>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</si>
  <si>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</si>
  <si>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</si>
  <si>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</si>
  <si>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</si>
  <si>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</si>
  <si>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</si>
  <si>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</si>
  <si>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</si>
  <si>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</si>
  <si>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</si>
  <si>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</si>
  <si>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</si>
  <si>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</si>
  <si>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</si>
  <si>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</si>
  <si>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</si>
  <si>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</si>
  <si>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</si>
  <si>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</si>
  <si>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</si>
  <si>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</si>
  <si>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</si>
  <si>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</si>
  <si>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</si>
  <si>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</si>
  <si>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</si>
  <si>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</si>
  <si>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</si>
  <si>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</si>
  <si>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</si>
  <si>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</si>
  <si>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</si>
  <si>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</si>
  <si>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</si>
  <si>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</si>
  <si>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</si>
  <si>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</si>
  <si>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</si>
  <si>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</si>
  <si>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</si>
  <si>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</si>
  <si>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</si>
  <si>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</si>
  <si>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</si>
  <si>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</si>
  <si>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</si>
  <si>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</si>
  <si>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</si>
  <si>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</si>
  <si>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</si>
  <si>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</si>
  <si>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</si>
  <si>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</si>
  <si>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</si>
  <si>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</si>
  <si>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</si>
  <si>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</si>
  <si>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</si>
  <si>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</si>
  <si>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</si>
  <si>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</si>
  <si>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</si>
  <si>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</si>
  <si>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</si>
  <si>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</si>
  <si>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</si>
  <si>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</si>
  <si>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</si>
  <si>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</si>
  <si>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</si>
  <si>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</si>
  <si>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</si>
  <si>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</si>
  <si>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</si>
  <si>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</si>
  <si>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</si>
  <si>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</si>
  <si>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</si>
  <si>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</si>
  <si>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</si>
  <si>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</si>
  <si>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</si>
  <si>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</si>
  <si>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</si>
  <si>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</si>
  <si>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</si>
  <si>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</si>
  <si>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</si>
  <si>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</si>
  <si>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</si>
  <si>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</si>
  <si>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</si>
  <si>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</si>
  <si>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</si>
  <si>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</si>
  <si>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</si>
  <si>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</si>
  <si>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</si>
  <si>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</si>
  <si>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</si>
  <si>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</si>
  <si>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</si>
  <si>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</si>
  <si>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</si>
  <si>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</si>
  <si>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</si>
  <si>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</si>
  <si>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</si>
  <si>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</si>
  <si>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</si>
  <si>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</si>
  <si>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</si>
  <si>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</si>
  <si>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</si>
  <si>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</si>
  <si>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</si>
  <si>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</si>
  <si>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</si>
  <si>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</si>
  <si>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</si>
  <si>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</si>
  <si>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</si>
  <si>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</si>
  <si>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</si>
  <si>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</si>
  <si>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</si>
  <si>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</si>
  <si>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</si>
  <si>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</si>
  <si>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</si>
  <si>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</si>
  <si>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</si>
  <si>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</si>
  <si>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</si>
  <si>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</si>
  <si>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</si>
  <si>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</si>
  <si>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</si>
  <si>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</si>
  <si>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</si>
  <si>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</si>
  <si>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</si>
  <si>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</si>
  <si>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</si>
  <si>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</si>
  <si>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</si>
  <si>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</si>
  <si>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</si>
  <si>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</si>
  <si>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</si>
  <si>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</si>
  <si>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</si>
  <si>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</si>
  <si>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</si>
  <si>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</si>
  <si>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</si>
  <si>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</si>
  <si>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</si>
  <si>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</si>
  <si>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</si>
  <si>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</si>
  <si>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</si>
  <si>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</si>
  <si>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</si>
  <si>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</si>
  <si>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</si>
  <si>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</si>
  <si>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</si>
  <si>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</si>
  <si>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</si>
  <si>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</si>
  <si>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</si>
  <si>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</si>
  <si>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</si>
  <si>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</si>
  <si>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</si>
  <si>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</si>
  <si>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</si>
  <si>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</si>
  <si>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</si>
  <si>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</si>
  <si>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</si>
  <si>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</si>
  <si>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</si>
  <si>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</si>
  <si>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</si>
  <si>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</si>
  <si>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</si>
  <si>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</si>
  <si>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</si>
  <si>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</si>
  <si>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</si>
  <si>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</si>
  <si>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</si>
  <si>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</si>
  <si>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</si>
  <si>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</si>
  <si>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</si>
  <si>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</si>
  <si>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</si>
  <si>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</si>
  <si>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</si>
  <si>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</si>
  <si>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</si>
  <si>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</si>
  <si>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</si>
  <si>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</si>
  <si>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</si>
  <si>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</si>
  <si>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</si>
  <si>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</si>
  <si>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</si>
  <si>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</si>
  <si>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</si>
  <si>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</si>
  <si>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</si>
  <si>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</si>
  <si>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</si>
  <si>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</si>
  <si>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</si>
  <si>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</si>
  <si>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</si>
  <si>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</si>
  <si>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</si>
  <si>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</si>
  <si>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</si>
  <si>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</si>
  <si>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</si>
  <si>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</si>
  <si>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</si>
  <si>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</si>
  <si>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</si>
  <si>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</si>
  <si>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</si>
  <si>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</si>
  <si>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</si>
  <si>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</si>
  <si>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</si>
  <si>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</si>
  <si>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</si>
  <si>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</si>
  <si>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</si>
  <si>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</si>
  <si>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</si>
  <si>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</si>
  <si>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</si>
  <si>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</si>
  <si>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</si>
  <si>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</si>
  <si>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</si>
  <si>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</si>
  <si>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</si>
  <si>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</si>
  <si>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</si>
  <si>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</si>
  <si>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</si>
  <si>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</si>
  <si>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</si>
  <si>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</si>
  <si>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</si>
  <si>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</si>
  <si>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</si>
  <si>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</si>
  <si>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</si>
  <si>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</si>
  <si>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</si>
  <si>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</si>
  <si>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</si>
  <si>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</si>
  <si>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</si>
  <si>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</si>
  <si>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</si>
  <si>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</si>
  <si>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</si>
  <si>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</si>
  <si>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</si>
  <si>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</si>
  <si>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</si>
  <si>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</si>
  <si>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</si>
  <si>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</si>
  <si>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</si>
  <si>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</si>
  <si>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</si>
  <si>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</si>
  <si>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</si>
  <si>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</si>
  <si>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</si>
  <si>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</si>
  <si>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</si>
  <si>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</si>
  <si>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</si>
  <si>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</si>
  <si>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</si>
  <si>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</si>
  <si>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</si>
  <si>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</si>
  <si>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</si>
  <si>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</si>
  <si>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</si>
  <si>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</si>
  <si>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</si>
  <si>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</si>
  <si>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</si>
  <si>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</si>
  <si>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</si>
  <si>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</si>
  <si>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</si>
  <si>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</si>
  <si>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</si>
  <si>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</si>
  <si>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</si>
  <si>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</si>
  <si>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</si>
  <si>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</si>
  <si>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</si>
  <si>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</si>
  <si>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</si>
  <si>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</si>
  <si>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</si>
  <si>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</si>
  <si>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</si>
  <si>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</si>
  <si>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</si>
  <si>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</si>
  <si>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</si>
  <si>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</si>
  <si>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</si>
  <si>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</si>
  <si>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</si>
  <si>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</si>
  <si>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</si>
  <si>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</si>
  <si>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</si>
  <si>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</si>
  <si>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</si>
  <si>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</si>
  <si>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</si>
  <si>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</si>
  <si>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</si>
  <si>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</si>
  <si>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</si>
  <si>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</si>
  <si>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</si>
  <si>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</si>
  <si>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</si>
  <si>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</si>
  <si>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</si>
  <si>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</si>
  <si>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</si>
  <si>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</si>
  <si>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</si>
  <si>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</si>
  <si>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</si>
  <si>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</si>
  <si>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</si>
  <si>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</si>
  <si>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</si>
  <si>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</si>
  <si>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</si>
  <si>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</si>
  <si>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</si>
  <si>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</si>
  <si>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</si>
  <si>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</si>
  <si>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</si>
  <si>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</si>
  <si>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</si>
  <si>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</si>
  <si>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</si>
  <si>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</si>
  <si>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</si>
  <si>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</si>
  <si>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</si>
  <si>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</si>
  <si>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</si>
  <si>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</si>
  <si>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</si>
  <si>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</si>
  <si>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</si>
  <si>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</si>
  <si>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</si>
  <si>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</si>
  <si>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</si>
  <si>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</si>
  <si>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</si>
  <si>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</si>
  <si>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</si>
  <si>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</si>
  <si>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</si>
  <si>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</si>
  <si>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</si>
  <si>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</si>
  <si>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</si>
  <si>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</si>
  <si>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</si>
  <si>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</si>
  <si>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</si>
  <si>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</si>
  <si>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</si>
  <si>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</si>
  <si>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</si>
  <si>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</si>
  <si>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</si>
  <si>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</si>
  <si>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</si>
  <si>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</si>
  <si>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</si>
  <si>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</si>
  <si>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</si>
  <si>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</si>
  <si>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</si>
  <si>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</si>
  <si>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</si>
  <si>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</si>
  <si>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</si>
  <si>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</si>
  <si>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</si>
  <si>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</si>
  <si>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</si>
  <si>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</si>
  <si>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</si>
  <si>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</si>
  <si>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</si>
  <si>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</si>
  <si>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</si>
  <si>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</si>
  <si>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</si>
  <si>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</si>
  <si>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</si>
  <si>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</si>
  <si>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</si>
  <si>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</si>
  <si>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</si>
  <si>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</si>
  <si>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</si>
  <si>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</si>
  <si>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</si>
  <si>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</si>
  <si>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</si>
  <si>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</si>
  <si>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</si>
  <si>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</si>
  <si>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</si>
  <si>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</si>
  <si>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</si>
  <si>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</si>
  <si>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</si>
  <si>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</si>
  <si>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</si>
  <si>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</si>
  <si>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</si>
  <si>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</si>
  <si>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</si>
  <si>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</si>
  <si>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</si>
  <si>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</si>
  <si>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</si>
  <si>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</si>
  <si>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</si>
  <si>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</si>
  <si>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</si>
  <si>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</si>
  <si>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</si>
  <si>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</si>
  <si>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</si>
  <si>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</si>
  <si>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</si>
  <si>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</si>
  <si>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</si>
  <si>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</si>
  <si>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</si>
  <si>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</si>
  <si>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</si>
  <si>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</si>
  <si>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</si>
  <si>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</si>
  <si>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</si>
  <si>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</si>
  <si>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</si>
  <si>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</si>
  <si>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</si>
  <si>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</si>
  <si>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</si>
  <si>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</si>
  <si>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</si>
  <si>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</si>
  <si>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</si>
  <si>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</si>
  <si>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</si>
  <si>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</si>
  <si>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</si>
  <si>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</si>
  <si>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</si>
  <si>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</si>
  <si>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</si>
  <si>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</si>
  <si>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</si>
  <si>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</si>
  <si>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</si>
  <si>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</si>
  <si>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</si>
  <si>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</si>
  <si>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</si>
  <si>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</si>
  <si>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</si>
  <si>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</si>
  <si>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</si>
  <si>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</si>
  <si>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</si>
  <si>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</si>
  <si>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</si>
  <si>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</si>
  <si>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</si>
  <si>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</si>
  <si>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</si>
  <si>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</si>
  <si>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</si>
  <si>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</si>
  <si>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</si>
  <si>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</si>
  <si>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</si>
  <si>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</si>
  <si>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</si>
  <si>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</si>
  <si>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</si>
  <si>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</si>
  <si>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</si>
  <si>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</si>
  <si>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</si>
  <si>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</si>
  <si>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</si>
  <si>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</si>
  <si>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</si>
  <si>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</si>
  <si>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</si>
  <si>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</si>
  <si>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</si>
  <si>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</si>
  <si>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</si>
  <si>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</si>
  <si>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</si>
  <si>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</si>
  <si>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</si>
  <si>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</si>
  <si>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</si>
  <si>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</si>
  <si>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</si>
  <si>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</si>
  <si>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</si>
  <si>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</si>
  <si>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</si>
  <si>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</si>
  <si>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</si>
  <si>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</si>
  <si>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</si>
  <si>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</si>
  <si>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</si>
  <si>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</si>
  <si>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</si>
  <si>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</si>
  <si>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</si>
  <si>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</si>
  <si>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</si>
  <si>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</si>
  <si>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</si>
  <si>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</si>
  <si>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</si>
  <si>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</si>
  <si>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</si>
  <si>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</si>
  <si>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</si>
  <si>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</si>
  <si>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</si>
  <si>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</si>
  <si>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</si>
  <si>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</si>
  <si>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</si>
  <si>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</si>
  <si>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</si>
  <si>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</si>
  <si>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</si>
  <si>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</si>
  <si>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</si>
  <si>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</si>
  <si>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</si>
  <si>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</si>
  <si>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</si>
  <si>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</si>
  <si>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</si>
  <si>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</si>
  <si>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</si>
  <si>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</si>
  <si>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</si>
  <si>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</si>
  <si>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</si>
  <si>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</si>
  <si>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</si>
  <si>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</si>
  <si>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</si>
  <si>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</si>
  <si>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</si>
  <si>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</si>
  <si>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</si>
  <si>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</si>
  <si>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</si>
  <si>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</si>
  <si>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</si>
  <si>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</si>
  <si>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</si>
  <si>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</si>
  <si>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</si>
  <si>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</si>
  <si>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</si>
  <si>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</si>
  <si>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</si>
  <si>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</si>
  <si>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</si>
  <si>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</si>
  <si>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</si>
  <si>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</si>
  <si>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</si>
  <si>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</si>
  <si>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</si>
  <si>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</si>
  <si>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</si>
  <si>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</si>
  <si>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</si>
  <si>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</si>
  <si>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</si>
  <si>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</si>
  <si>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</si>
  <si>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</si>
  <si>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</si>
  <si>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</si>
  <si>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</si>
  <si>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</si>
  <si>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</si>
  <si>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</si>
  <si>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</si>
  <si>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</si>
  <si>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</si>
  <si>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</si>
  <si>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</si>
  <si>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</si>
  <si>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</si>
  <si>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</si>
  <si>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</si>
  <si>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</si>
  <si>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</si>
  <si>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</si>
  <si>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</si>
  <si>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</si>
  <si>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</si>
  <si>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</si>
  <si>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</si>
  <si>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</si>
  <si>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</si>
  <si>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</si>
  <si>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</si>
  <si>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</si>
  <si>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</si>
  <si>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</si>
  <si>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</si>
  <si>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</si>
  <si>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</si>
  <si>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</si>
  <si>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</si>
  <si>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</si>
  <si>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</si>
  <si>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</si>
  <si>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</si>
  <si>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</si>
  <si>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</si>
  <si>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</si>
  <si>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</si>
  <si>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</si>
  <si>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</si>
  <si>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</si>
  <si>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</si>
  <si>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</si>
  <si>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</si>
  <si>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</si>
  <si>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</si>
  <si>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</si>
  <si>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</si>
  <si>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</si>
  <si>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</si>
  <si>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</si>
  <si>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</si>
  <si>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</si>
  <si>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</si>
  <si>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</si>
  <si>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</si>
  <si>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</si>
  <si>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</si>
  <si>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</si>
  <si>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</si>
  <si>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</si>
  <si>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</si>
  <si>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</si>
  <si>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</si>
  <si>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</si>
  <si>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</si>
  <si>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</si>
  <si>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</si>
  <si>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</si>
  <si>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</si>
  <si>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</si>
  <si>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</si>
  <si>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</si>
  <si>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</si>
  <si>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</si>
  <si>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</si>
  <si>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</si>
  <si>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</si>
  <si>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</si>
  <si>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</si>
  <si>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</si>
  <si>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</si>
  <si>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</si>
  <si>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</si>
  <si>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</si>
  <si>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</si>
  <si>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</si>
  <si>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</si>
  <si>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</si>
  <si>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</si>
  <si>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</si>
  <si>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</si>
  <si>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</si>
  <si>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</si>
  <si>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</si>
  <si>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</si>
  <si>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</si>
  <si>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</si>
  <si>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</si>
  <si>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</si>
  <si>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</si>
  <si>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</si>
  <si>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</si>
  <si>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</si>
  <si>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</si>
  <si>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</si>
  <si>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</si>
  <si>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</si>
  <si>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</si>
  <si>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</si>
  <si>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</si>
  <si>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</si>
  <si>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</si>
  <si>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</si>
  <si>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</si>
  <si>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</si>
  <si>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</si>
  <si>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</si>
  <si>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</si>
  <si>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</si>
  <si>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</si>
  <si>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</si>
  <si>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</si>
  <si>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</si>
  <si>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</si>
  <si>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</si>
  <si>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</si>
  <si>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</si>
  <si>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</si>
  <si>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</si>
  <si>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</si>
  <si>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</si>
  <si>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</si>
  <si>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</si>
  <si>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</si>
  <si>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</si>
  <si>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</si>
  <si>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</si>
  <si>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</si>
  <si>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</si>
  <si>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</si>
  <si>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</si>
  <si>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</si>
  <si>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</si>
  <si>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</si>
  <si>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</si>
  <si>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</si>
  <si>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</si>
  <si>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</si>
  <si>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</si>
  <si>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</si>
  <si>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</si>
  <si>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</si>
  <si>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</si>
  <si>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</si>
  <si>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</si>
  <si>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</si>
  <si>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</si>
  <si>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</si>
  <si>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</si>
  <si>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</si>
  <si>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</si>
  <si>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</si>
  <si>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</si>
  <si>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</si>
  <si>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</si>
  <si>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</si>
  <si>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</si>
  <si>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</si>
  <si>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</si>
  <si>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</si>
  <si>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</si>
  <si>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</si>
  <si>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</si>
  <si>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</si>
  <si>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</si>
  <si>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</si>
  <si>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</si>
  <si>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</si>
  <si>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</si>
  <si>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</si>
  <si>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</si>
  <si>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</si>
  <si>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</si>
  <si>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</si>
  <si>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</si>
  <si>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</si>
  <si>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</si>
  <si>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</si>
  <si>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</si>
  <si>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</si>
  <si>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</si>
  <si>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</si>
  <si>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</si>
  <si>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</si>
  <si>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</si>
  <si>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</si>
  <si>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</si>
  <si>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</si>
  <si>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</si>
  <si>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</si>
  <si>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</si>
  <si>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</si>
  <si>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</si>
  <si>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</si>
  <si>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</si>
  <si>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</si>
  <si>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</si>
  <si>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</si>
  <si>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</si>
  <si>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</si>
  <si>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</si>
  <si>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</si>
  <si>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</si>
  <si>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</si>
  <si>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</si>
  <si>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</si>
  <si>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</si>
  <si>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</si>
  <si>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</si>
  <si>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</si>
  <si>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</si>
  <si>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</si>
  <si>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</si>
  <si>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</si>
  <si>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</si>
  <si>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</si>
  <si>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</si>
  <si>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</si>
  <si>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</si>
  <si>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</si>
  <si>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</si>
  <si>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</si>
  <si>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</si>
  <si>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</si>
  <si>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</si>
  <si>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</si>
  <si>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</si>
  <si>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</si>
  <si>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</si>
  <si>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</si>
  <si>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</si>
  <si>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</si>
  <si>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</si>
  <si>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</si>
  <si>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</si>
  <si>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</si>
  <si>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</si>
  <si>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</si>
  <si>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</si>
  <si>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</si>
  <si>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</si>
  <si>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</si>
  <si>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</si>
  <si>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</si>
  <si>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</si>
  <si>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</si>
  <si>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</si>
  <si>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</si>
  <si>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</si>
  <si>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</si>
  <si>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</si>
  <si>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</si>
  <si>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</si>
  <si>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</si>
  <si>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</si>
  <si>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</si>
  <si>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</si>
  <si>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</si>
  <si>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</si>
  <si>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</si>
  <si>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</si>
  <si>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</si>
  <si>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</si>
  <si>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</si>
  <si>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</si>
  <si>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</si>
  <si>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</si>
  <si>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</si>
  <si>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</si>
  <si>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</si>
  <si>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</si>
  <si>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</si>
  <si>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</si>
  <si>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</si>
  <si>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</si>
  <si>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</si>
  <si>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</si>
  <si>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</si>
  <si>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</si>
  <si>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</si>
  <si>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</si>
  <si>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</si>
  <si>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</si>
  <si>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</si>
  <si>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</si>
  <si>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</si>
  <si>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</si>
  <si>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</si>
  <si>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</si>
  <si>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</si>
  <si>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</si>
  <si>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</si>
  <si>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</si>
  <si>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</si>
  <si>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</si>
  <si>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</si>
  <si>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</si>
  <si>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</si>
  <si>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</si>
  <si>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</si>
  <si>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</si>
  <si>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</si>
  <si>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</si>
  <si>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</si>
  <si>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</si>
  <si>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</si>
  <si>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</si>
  <si>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</si>
  <si>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</si>
  <si>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</si>
  <si>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</si>
  <si>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</si>
  <si>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</si>
  <si>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</si>
  <si>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</si>
  <si>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</si>
  <si>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</si>
  <si>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</si>
  <si>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</si>
  <si>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</si>
  <si>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</si>
  <si>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</si>
  <si>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</si>
  <si>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</si>
  <si>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</si>
  <si>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</si>
  <si>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</si>
  <si>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</si>
  <si>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</si>
  <si>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</si>
  <si>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</si>
  <si>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</si>
  <si>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</si>
  <si>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</si>
  <si>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</si>
  <si>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</si>
  <si>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</si>
  <si>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</si>
  <si>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</si>
  <si>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</si>
  <si>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</si>
  <si>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</si>
  <si>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</si>
  <si>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</si>
  <si>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</si>
  <si>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</si>
  <si>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</si>
  <si>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</si>
  <si>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</si>
  <si>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</si>
  <si>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</si>
  <si>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</si>
  <si>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</si>
  <si>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</si>
  <si>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</si>
  <si>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</si>
  <si>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</si>
  <si>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</si>
  <si>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</si>
  <si>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</si>
  <si>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</si>
  <si>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</si>
  <si>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</si>
  <si>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</si>
  <si>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</si>
  <si>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</si>
  <si>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</si>
  <si>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</si>
  <si>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</si>
  <si>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</si>
  <si>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</si>
  <si>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</si>
  <si>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</si>
  <si>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</si>
  <si>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</si>
  <si>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</si>
  <si>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</si>
  <si>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</si>
  <si>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</si>
  <si>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</si>
  <si>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</si>
  <si>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</si>
  <si>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</si>
  <si>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</si>
  <si>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</si>
  <si>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</si>
  <si>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</si>
  <si>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</si>
  <si>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</si>
  <si>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</si>
  <si>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</si>
  <si>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</si>
  <si>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</si>
  <si>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</si>
  <si>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</si>
  <si>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</si>
  <si>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</si>
  <si>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</si>
  <si>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</si>
  <si>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</si>
  <si>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</si>
  <si>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</si>
  <si>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</si>
  <si>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</si>
  <si>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</si>
  <si>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</si>
  <si>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</si>
  <si>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</si>
  <si>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</si>
  <si>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</si>
  <si>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</si>
  <si>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</si>
  <si>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</si>
  <si>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</si>
  <si>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</si>
  <si>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</si>
  <si>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</si>
  <si>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</si>
  <si>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</si>
  <si>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</si>
  <si>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</si>
  <si>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</si>
  <si>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</si>
  <si>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</si>
  <si>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</si>
  <si>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</si>
  <si>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</si>
  <si>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</si>
  <si>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</si>
  <si>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</si>
  <si>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</si>
  <si>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</si>
  <si>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</si>
  <si>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</si>
  <si>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</si>
  <si>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</si>
  <si>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</si>
  <si>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</si>
  <si>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</si>
  <si>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</si>
  <si>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</si>
  <si>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</si>
  <si>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</si>
  <si>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</si>
  <si>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</si>
  <si>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</si>
  <si>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</si>
  <si>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</si>
  <si>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</si>
  <si>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</si>
  <si>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</si>
  <si>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</si>
  <si>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</si>
  <si>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</si>
  <si>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</si>
  <si>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</si>
  <si>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</si>
  <si>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</si>
  <si>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</si>
  <si>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</si>
  <si>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</si>
  <si>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</si>
  <si>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</si>
  <si>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</si>
  <si>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</si>
  <si>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</si>
  <si>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</si>
  <si>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</si>
  <si>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</si>
  <si>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</si>
  <si>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</si>
  <si>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</si>
  <si>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</si>
  <si>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</si>
  <si>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</si>
  <si>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</si>
  <si>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</si>
  <si>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</si>
  <si>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</si>
  <si>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</si>
  <si>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</si>
  <si>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</si>
  <si>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</si>
  <si>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</si>
  <si>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</si>
  <si>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</si>
  <si>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</si>
  <si>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</si>
  <si>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</si>
  <si>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</si>
  <si>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</si>
  <si>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</si>
  <si>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</si>
  <si>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</si>
  <si>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</si>
  <si>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</si>
  <si>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</si>
  <si>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</si>
  <si>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</si>
  <si>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</si>
  <si>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</si>
  <si>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</si>
  <si>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</si>
  <si>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</si>
  <si>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</si>
  <si>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</si>
  <si>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</si>
  <si>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</si>
  <si>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</si>
  <si>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</si>
  <si>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</si>
  <si>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</si>
  <si>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</si>
  <si>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</si>
  <si>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</si>
  <si>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</si>
  <si>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</si>
  <si>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</si>
  <si>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</si>
  <si>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</si>
  <si>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</si>
  <si>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</si>
  <si>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</si>
  <si>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</si>
  <si>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</si>
  <si>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</si>
  <si>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</si>
  <si>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</si>
  <si>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</si>
  <si>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</si>
  <si>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</si>
  <si>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</si>
  <si>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</si>
  <si>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</si>
  <si>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</si>
  <si>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</si>
  <si>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</si>
  <si>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</si>
  <si>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</si>
  <si>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</si>
  <si>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</si>
  <si>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</si>
  <si>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</si>
  <si>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</si>
  <si>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</si>
  <si>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</si>
  <si>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</si>
  <si>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</si>
  <si>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</si>
  <si>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</si>
  <si>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</si>
  <si>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</si>
  <si>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</si>
  <si>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</si>
  <si>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</si>
  <si>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</si>
  <si>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</si>
  <si>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</si>
  <si>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</si>
  <si>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</si>
  <si>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</si>
  <si>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</si>
  <si>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</si>
  <si>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</si>
  <si>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</si>
  <si>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</si>
  <si>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</si>
  <si>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</si>
  <si>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</si>
  <si>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</si>
  <si>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</si>
  <si>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</si>
  <si>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</si>
  <si>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</si>
  <si>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</si>
  <si>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</si>
  <si>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</si>
  <si>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</si>
  <si>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</si>
  <si>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</si>
  <si>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</si>
  <si>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</si>
  <si>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</si>
  <si>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</si>
  <si>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</si>
  <si>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</si>
  <si>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</si>
  <si>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</si>
  <si>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</si>
  <si>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</si>
  <si>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</si>
  <si>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</si>
  <si>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</si>
  <si>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</si>
  <si>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</si>
  <si>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</si>
  <si>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</si>
  <si>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</si>
  <si>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</si>
  <si>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</si>
  <si>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</si>
  <si>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</si>
  <si>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</si>
  <si>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</si>
  <si>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</si>
  <si>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</si>
  <si>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</si>
  <si>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</si>
  <si>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</si>
  <si>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</si>
  <si>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</si>
  <si>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</si>
  <si>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</si>
  <si>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</si>
  <si>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</si>
  <si>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</si>
  <si>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</si>
  <si>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</si>
  <si>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</si>
  <si>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</si>
  <si>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</si>
  <si>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</si>
  <si>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</si>
  <si>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</si>
  <si>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</si>
  <si>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</si>
  <si>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</si>
  <si>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</si>
  <si>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</si>
  <si>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</si>
  <si>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</si>
  <si>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</si>
  <si>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</si>
  <si>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</si>
  <si>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</si>
  <si>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</si>
  <si>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</si>
  <si>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</si>
  <si>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</si>
  <si>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</si>
  <si>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</si>
  <si>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</si>
  <si>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</si>
  <si>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</si>
  <si>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</si>
  <si>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</si>
  <si>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</si>
  <si>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</si>
  <si>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</si>
  <si>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</si>
  <si>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</si>
  <si>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</si>
  <si>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</si>
  <si>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</si>
  <si>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</si>
  <si>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</si>
  <si>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</si>
  <si>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</si>
  <si>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</si>
  <si>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</si>
  <si>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</si>
  <si>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</si>
  <si>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</si>
  <si>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</si>
  <si>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</si>
  <si>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</si>
  <si>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</si>
  <si>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</si>
  <si>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</si>
  <si>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</si>
  <si>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</si>
  <si>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</si>
  <si>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</si>
  <si>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</si>
  <si>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</si>
  <si>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</si>
  <si>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</si>
  <si>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</si>
  <si>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</si>
  <si>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</si>
  <si>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</si>
  <si>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</si>
  <si>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</si>
  <si>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</si>
  <si>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</si>
  <si>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</si>
  <si>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</si>
  <si>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</si>
  <si>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</si>
  <si>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</si>
  <si>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</si>
  <si>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</si>
  <si>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</si>
  <si>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</si>
  <si>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</si>
  <si>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</si>
  <si>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</si>
  <si>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</si>
  <si>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</si>
  <si>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</si>
  <si>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</si>
  <si>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</si>
  <si>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</si>
  <si>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</si>
  <si>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</si>
  <si>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</si>
  <si>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</si>
  <si>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</si>
  <si>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</si>
  <si>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</si>
  <si>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</si>
  <si>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</si>
  <si>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</si>
  <si>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</si>
  <si>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</si>
  <si>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</si>
  <si>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</si>
  <si>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</si>
  <si>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</si>
  <si>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</si>
  <si>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</si>
  <si>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</si>
  <si>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</si>
  <si>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</si>
  <si>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</si>
  <si>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</si>
  <si>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</si>
  <si>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</si>
  <si>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</si>
  <si>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</si>
  <si>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</si>
  <si>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</si>
  <si>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</si>
  <si>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</si>
  <si>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</si>
  <si>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</si>
  <si>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</si>
  <si>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</si>
  <si>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</si>
  <si>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</si>
  <si>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</si>
  <si>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</si>
  <si>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</si>
  <si>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</si>
  <si>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</si>
  <si>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</si>
  <si>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</si>
  <si>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</si>
  <si>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</si>
  <si>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</si>
  <si>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</si>
  <si>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</si>
  <si>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</si>
  <si>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</si>
  <si>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</si>
  <si>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</si>
  <si>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</si>
  <si>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</si>
  <si>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</si>
  <si>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</si>
  <si>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</si>
  <si>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</si>
  <si>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</si>
  <si>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</si>
  <si>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</si>
  <si>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</si>
  <si>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</si>
  <si>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</si>
  <si>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</si>
  <si>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</si>
  <si>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</si>
  <si>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</si>
  <si>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</si>
  <si>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</si>
  <si>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</si>
  <si>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</si>
  <si>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</si>
  <si>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</si>
  <si>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</si>
  <si>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</si>
  <si>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</si>
  <si>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</si>
  <si>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</si>
  <si>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</si>
  <si>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</si>
  <si>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</si>
  <si>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</si>
  <si>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</si>
  <si>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</si>
  <si>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</si>
  <si>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</si>
  <si>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</si>
  <si>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</si>
  <si>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</si>
  <si>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</si>
  <si>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</si>
  <si>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</si>
  <si>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</si>
  <si>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</si>
  <si>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</si>
  <si>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</si>
  <si>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</si>
  <si>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</si>
  <si>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</si>
  <si>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</si>
  <si>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</si>
  <si>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</si>
  <si>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</si>
  <si>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</si>
  <si>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</si>
  <si>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</si>
  <si>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</si>
  <si>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</si>
  <si>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</si>
  <si>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</si>
  <si>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</si>
  <si>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</si>
  <si>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</si>
  <si>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</si>
  <si>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AA331</t>
  </si>
  <si>
    <t>2024-01-01</t>
  </si>
  <si>
    <t>2023-12-31</t>
  </si>
  <si>
    <t>2025-12-31</t>
  </si>
  <si>
    <t>2026-01-26</t>
  </si>
  <si>
    <t>Eddy Rintis</t>
  </si>
  <si>
    <t>Muhammad Jusuf Wibisana</t>
  </si>
  <si>
    <t>2024-12-31</t>
  </si>
  <si>
    <t>BBCA</t>
  </si>
  <si>
    <t>2025-01-01</t>
  </si>
  <si>
    <t>PT Bank Central Asia Tbk.</t>
  </si>
  <si>
    <t>Provisi diakui jika, sebagai akibat peristiwa masa lalu, Grup memiliki kewajiban kini, baik bersifat hukum maupun bersifat konstruktif yang dapat diestimasi secara andal, dan kemungkinan besar penyelesaian kewajiban tersebut mengakibatkan arus keluar sumber daya yang mengandung manfaat ekonomi.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</si>
  <si>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Grup dapat memilih untuk tidak mengakui aset hak guna dan liabilitas sewa untuk:
- Sewa dengan masa sewa 12 bulan atau kurang; dan
- Sewa yang aset pendasarnya bernilai-rendah
Untuk menilai apakah kontrak memberikan hak untuk mengendalikan penggunaan aset identifikasian, Grup harus menilai apakah:
- Grup memiliki hak untuk mendapatkan secara substansial seluruh manfaat ekonomi dari penggunaan aset identifikasian; dan
- Grup memiliki hak untuk mengarahkan penggunaan aset identifikasian. Grup memiliki hak ini ketika Grup memiliki hak untuk pengambilan keputusan yang relevan tentang bagaimana dan untuk tujuan apa aset digunakan telah ditentukan sebelumnya:
1. Grup memiliki hak untuk mengoperasikan aset;
2. Grup telah mendesain aset dengan cara menetapkan sebelumnya bagaimana dan untuk tujuan apa aset akan digunakan selama periode penggunaan. 
Pada tanggal permulaan sewa, Grup mengakui aset hak guna dan liabilitas sewa. Aset hak guna diukur pada biaya perolehan, di mana meliputi jumlah pengukuran awal liabilitas sewa yang disesuaikan dengan pembayaran sewa yang dilakukan pada atau sebelum tanggal permulaan, ditambah dengan biaya langsung awal yang dikeluarkan. 
Aset hak guna diamortisasi dengan menggunakan metode garis lurus sepanjang jangka waktu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Pembayaran sewa dialokasikan menjadi bagian pokok dan biaya keuangan. Biaya keuangan dibebankan pada laba rugi selama periode sewa sehingga menghasilkan tingkat suku bunga periodik yang konstan atas saldo liabilitas untuk setiap periode.
Grup menyajikan aset hak guna sebagai bagian dari  tetap dan liabilitas sewa sebagai bagian dari  lain-lain di dalam laporan posisi keuangan konsolidasian.
Jika sewa mengalihkan kepemilikan aset pendasar kepada Grup pada akhir masa sewa atau jika biaya perolehan aset hak guna merefleksikan Grup akan mengeksekusi opsi beli, maka Grup menyusutkan aset hak guna dari tanggal permulaan hingga akhir umur manfaat aset pendasar. Jika tidak, maka Grup menyusutkan aset hak guna dari tanggal permulaan hingga tanggal yang lebih awal antara akhir umur manfaat aset hak guna atau akhir masa sewa.
Grup menganalisa fakta dan keadaan untuk masing-masing jenis hak atas tanah dalam menentukan akuntansi untuk masing-masing hak atas tanah tersebut sehingga dapat merepresentasikan dengan tepat suatu kejadian atau transaksi ekonomis yang mendasarinya. Jika hak atas tanah tersebut tidak mengalihkan pengendalian atas aset pendasar kepada Grup, melainkan mengalihkan hak untuk menggunakan aset pendasar, Grup menerapkan perlakuan akuntansi atas transaksi tersebut sebagai sewa berdasarkan PSAK 116  kecuali jika hak atas tanah secara substansi menyerupai pembelian tanah, maka Grup menerapkan PSAK 216  tetap.</t>
  </si>
  <si>
    <t>Beban pajak terdiri dari pajak kini dan pajak tangguhan. Pajak diakui dalam laporan laba rugi dan penghasilan komprehensif lain konsolidasian, kecuali jika pajak tersebut terkait dengan transaksi atau kejadian yang diakui di penghasilan komprehensif lain atau langsung diakui ke ekuitas. Dalam hal ini, pajak tersebut masing-masing diakui dalam penghasilan komprehensif lain atau ekuitas.
Beban pajak kini dihitung berdasarkan peraturan perpajakan yang berlaku atau yang secara substantif berlaku pada akhir periode pelaporan, di negara di mana entitas dalam Grup beroperasi dan menghasilkan pendapatan kena pajak. Manajemen secara periodik mengevaluasi posisi yang dilaporkan di Surat Pemberitahuan Tahunan () sehubungan dengan situasi di mana aturan pajak yang berlaku membutuhkan interpretasi. Jika perlu, manajemen menentukan provisi berdasarkan jumlah yang diharapkan akan dibayar kepada otoritas pajak.
Pajak penghasilan tangguhan diakui sepenuhnya,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
Aset pajak tangguhan diakui hanya jika kemungkinan jumlah penghasilan kena pajak di masa depan akan memadai untuk dikompensasi dengan perbedaan temporer yang masih dapat dimanfaatkan.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Aset pajak kini dan liabilitas pajak kini atas masing-masing entitas akan saling hapus ketika entitas memiliki hak yang berkekuatan hukum untuk melakukan saling hapus  dan adanya niat untuk melakukan penyelesaian saldo-saldo tersebut secara neto atau untuk merealisasikan aset dan menyelesaikan liabilitas secara bersamaan.</t>
  </si>
  <si>
    <t>Item-item yang disertakan dalam laporan keuangan Grup diukur menggunakan mata uang yang sesuai dengan lingkungan ekonomi utama di mana entitas beroperasi ( uang fungsional).
Grup yang berdomisili di Indonesia menyelenggarakan catatan akuntansinya dalam Rupiah, yang merupakan mata uang fungsional dan penyajian Grup. Transaksi-transaksi dalam valuta asing dijabarkan ke dalam Rupiah dengan menggunakan kurs pada tanggal transaksi. Pada tanggal pelaporan, saldo akhir tahun aset dan liabilitas moneter dalam valuta asing dijabarkan ke dalam Rupiah dengan kurs penutup yang berlaku pada tanggal laporan posisi keuangan konsolidasian.
Untuk tujuan konsolidasian, laporan keuangan dalam valuta asing milik Entitas Anak yang berdomisili di luar negeri dijabarkan ke dalam mata uang Rupiah dengan dasar sebagai berikut:
(1) Aset dan liabilitas, komitmen dan kontinjensi menggunakan kurs spot Reuters pada pukul 15:00 WIB pada tanggal laporan posisi keuangan.
(2) Pendapatan, beban, keuntungan dan kerugian merupakan akumulasi dari saldo laba rugi bulanan selama tahun berjalan yang dijabarkan ke dalam Rupiah dengan rata-rata kurs tengah Reuters untuk bulan yang bersangkutan.
(3) Akun ekuitas menggunakan kurs historis.
(4) Laporan arus kas menggunakan kurs spot Reuters pada pukul 15:00 WIB pada tanggal laporan posisi keuangan, kecuali akun-akun laba rugi menggunakan kurs tengah rata-rata dan unsur-unsur ekuitas menggunakan kurs historis.
 Selisih yang timbul dari proses penjabaran laporan keuangan tersebut disajikan sebagai  kurs karena penjabaran laporan keuangan dalam valuta asing pada kelompok ekuitas dalam laporan posisi keuangan konsolidasian.
 Keuntungan dan kerugian selisih kurs yang timbul dari transaksi dalam valuta asing dan dari penjabaran aset dan liabilitas moneter dalam valuta asing diakui dalam laba rugi konsolidasian tahun berjalan</t>
  </si>
  <si>
    <t>Giro pada Bank Indonesia dan bank-bank lain disajikan sebesar nilai nominal atau nilai saldo bruto, dikurangi dengan cadangan kerugian penurunan nilai, jika diperlukan. Giro pada Bank Indonesia dan bank-bank lain diklasifikasikan sebagai aset keuangan yang diukur pada biaya perolehan diamortisasi. Lihat Catatan 2g untuk kebijakan akuntansi atas aset keuangan yang diukur pada biaya perolehan diamortisasi.</t>
  </si>
  <si>
    <t>Termasuk dalam pendapatan bunga dari kredit yang diberikan adalah bunga dari efek diskonto aset keuangan yang mengalami penurunan nilai untuk tahun berakhir 31 Desember 2025 dan 2024, masing-masing sebesar Rp (4.135) dan Rp 11.364.
Pendapatan bunga dari kredit yang diberikan kepada pihak berelasi diungkapkan pada 
Catatan 45.</t>
  </si>
  <si>
    <t>Bank mengadakan perjanjian pemberian fasilitas pembiayaan bersama dengan PT BCA Finance yang merupakan Entitas Anak, untuk membiayai kepemilikan kendaraan bermotor. Segala risiko atas kerugian yang timbul sehubungan dengan fasilitas kredit yang diberikan dalam rangka pemberian fasilitas pembiayaan bersama akan ditanggung secara bersama-sama oleh kedua belah pihak secara proporsional sesuai bagian pembiayaan (partisipasi) masing-masing pihak (tanpa tanggung renteng). Jumlah piutang pembiayaan bersama yang merupakan bagian Bank pada tanggal 31 Desember 2025 dan 2024 adalah masing-masing sebesar Rp 46.331.424 dan Rp 54.623.153.
Pada tanggal 31 Desember 2025 dan 2024, Bank tidak memiliki kredit yang diberikan yang dijadikan sebagai jaminan.
 Giro, tabungan, dan deposito berjangka yang dijaminkan untuk kredit yang diberikan masing-masing sebesar Rp 26.552.692 dan Rp 18.465.132 pada tanggal 31 Desember 2025 dan 2024 (Catatan 19).
 Pinjaman karyawan adalah pinjaman yang diberikan kepada karyawan dengan tingkat bunga sebesar 4% per tahun yang ditujukan untuk pembelian rumah, kendaraan, dan keperluan lainnya dengan jangka waktu berkisar antara 8 tahun sampai dengan 20 tahun, khusus untuk periode 2022 - 2026 Bank memberikan keringanan kepada karyawan dengan tingkat bunga sebesar 3,5% per tahun. Pembayaran pokok pinjaman dan bunga dilunasi melalui pemotongan gaji setiap bulan. Perbedaan suku bunga yang diberikan dengan suku bunga pasar diperlakukan sebagai subsidi dan dicatat sebagai bagian dari aset lain-lain, serta diamortisasi sepanjang umur kredit.</t>
  </si>
  <si>
    <t>Kerugian Kredit Ekspektasian ()  perhitungan cadangan kerugian penurunan nilai atas kredit yang diberikan</t>
  </si>
  <si>
    <t>Piutang pembiayaan konsumen merupakan jumlah piutang setelah dikurangi dengan bagian pembiayaan bersama, pendapatan pembiayaan konsumen yang belum diakui dan penyisihan kerugian penurunan nilai piutang pembiayaan konsumen. Pembiayaan konsumen diklasifikasikan sebagai aset keuangan yang diukur pada biaya perolehan diamortisasi. Lihat Catatan 2g untuk kebijakan akuntansi atas aset keuangan yang diukur pada biaya perolehan diamortisasi.
Pendapatan pembiayaan konsumen yang belum diakui merupakan selisih antara jumlah keseluruhan pembayaran angsuran yang akan diterima dari konsumen dan jumlah pokok pembiayaan, ditambah atau dikurangi biaya (pendapatan) transaksi yang belum diamortisasi, yang akan diakui sebagai pendapatan selama jangka waktu kontrak dengan menggunakan metode suku bunga efektif dari piutang pembiayaan konsumen.
Biaya (pendapatan) transaksi yang belum diamortisasi adalah pendapatan administrasi proses pembiayaan dan biaya transaksi yang timbul pertama kali yang terkait langsung dengan pembiayaan konsumen tersebut. 
 Penyelesaian kontrak sebelum masa pembiayaan konsumen berakhir diperlakukan sebagai pembatalan kontrak pembiayaan konsumen dan keuntungan yang timbul diakui dalam laba rugi konsolidasian tahun berjalan.
Piutang pembiayaan konsumen akan dihapusbukukan setelah menunggak lebih dari 150 (seratus lima puluh) dan berdasarkan penelaahan manajemen atas kasus per kasus. Penerimaan dari piutang yang telah dihapusbukukan pada periode berjalan dilakukan dengan menyesuaikan akun cadangan, sedangkan penerimaan atas piutang yang telah dihapuskan pada periode sebelumnya diakui sebagai pendapatan lain-lain.</t>
  </si>
  <si>
    <t>Laba per saham dasar dihitung berdasarkan laba bersih tahun berjalan yang dapat diatribusikan kepada pemilik entitas induk dibagi dengan jumlah rata-rata tertimbang saham beredar selama tahun berjalan setelah memperhitungkan pembelian kembali saham.
 Pada tanggal 31 Desember 2025 dan 2024, tidak terdapat instrumen dilusian. Oleh karena itu, laba per saham dilusian sama dengan laba per saham dasar.</t>
  </si>
  <si>
    <t>Aset yang memiliki masa manfaat yang tidak terbatas - misalnya goodwill atau aset takberwujud yang belum siap digunakan - tidak diamortisasi namun diuji penurunan nilainya setiap tahun, atau lebih sering apabila terdapat peristiwa atau perubahan pada kondisi yang mengindikasikan kemungkinan penurunan nilai. Aset yang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 mana terdapat arus kas masuk yang dapat diidentifikasi, yang sebagian besar tidak tergantung pada arus masuk kas dari aset lain atau kelompok aset (unit penghasil kas).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Rugi penurunan nilai yang diakui atas goodwill tidak akan di pulihkan lagi.</t>
  </si>
  <si>
    <t>Bank tidak memiliki saldo simpanan dari bank-bank lain dari pihak berelasi.</t>
  </si>
  <si>
    <t>Penempatan pada Bank Indonesia dan bank-bank lain diklasifikasikan dalam kelompok aset keuangan yang diukur pada biaya perolehan diamortisasi, serta diukur pada nilai wajar melalui penghasilan komprehensif lain. Lihat Catatan 2g untuk kebijakan akuntansi atas aset keuangan yang diukur pada biaya perolehan diamortisasi serta diukur pada nilai wajar melalui penghasilan komprehensif lain.</t>
  </si>
  <si>
    <t>KAP Rintis, Jumadi, Rianto  Rekan</t>
  </si>
  <si>
    <t>Efek-efek untuk tujuan investasi terdiri dari efek-efek yang diperdagangkan dari pasar uang dan bursa efek seperti Obligasi Pemerintah, Sekuritas Rupiah dan Valas Bank Indonesia, Sukuk Bank Indonesia, Sukuk, Obligasi Korporasi, Sertifikat Bank Indonesia, unit penyertaan reksa dana, medium term notes, dan saham. Efek-efek untuk tujuan investasi diklasifikasikan sebagai aset keuangan yang diukur pada biaya perolehan diamortisasi dan diukur pada nilai wajar melalui penghasilan komprehensif lain. Lihat Catatan 2g untuk kebijakan akuntansi atas aset keuangan yang diukur pada biaya perolehan diamortisasi dan diukur pada nilai wajar melalui penghasilan komprehensif lain.
Investasi pada sukuk yang diukur pada biaya perolehan diamortisasi dan diukur pada nilai wajar melalui penghasilan komprehensif lain
Grup menentukan klasifikasi investasi pada sukuk berdasarkan model usaha dengan mengacu pada PSAK 410  Sukuk sebagai berikut:
 Surat berharga diukur pada biaya perolehan disajikan sebesar biaya perolehan (termasuk biaya transaksi) yang disesuaikan dengan premi dan/atau diskonto yang belum diamortisasi. Premi dan diskonto diamortisasi selama periode hingga jatuh tempo. 
 Surat berharga diukur pada nilai wajar melalui penghasilan komprehensif lain yang dinyatakan sebesar nilai wajar. Keuntungan atau kerugian yang belum direalisasi akibat kenaikan atau penurunan nilai wajarnya disajikan dalam penghasilan komprehensif lain tahun berjalan.</t>
  </si>
  <si>
    <t>Ketika entitas Grup membeli modal saham ekuitas entitas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</si>
  <si>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Beban bunga dan syariah atas simpanan dari nasabah kepada pihak berelasi diungkapkan pada Catatan 45.</t>
  </si>
  <si>
    <t>Aset tetap pada awalnya dicatat sebesar biaya perolehan. Biaya perolehan termasuk pengeluaran-pengeluaran yang dapat diatribusikan secara langsung agar aset tersebut siap digunakan. Kecuali tanah, setelah pengukuran awal, seluruh aset tetap diukur dengan model biaya, yaitu biaya perolehan dikurangi akumulasi penyusutan dan akumulasi rugi penurunan nilai aset. Tanah tidak disusutkan.
Tanah disajikan sebesar nilai wajar, berdasarkan penilaian yang dilakukan oleh penilai independen eksternal yang telah terdaftar di OJK. Penilaian terhadap tanah dilakukan oleh penilai yang memiliki kualifikasi profesional. Revaluasi dilakukan dengan keteraturan yang cukup berkala untuk memastikan bahwa nilai tercatat aset yang direvaluasi tidak berbeda secara material dengan nilai wajarnya pada tanggal pelaporan.
Kenaikan nilai tercatat yang timbul dari revaluasi tanah dikreditkan pada  revaluasi aset tetap sebagai bagian dari pendapatan komprehensif lainnya. Akan tetapi, kenaikan tersebut diakui dalam laba rugi hingga sebesar jumlah penurunan nilai aset yang sama akibat revaluasi yang pernah diakui sebelumnya dalam laporan laba rugi dan penghasilan komprehensif lain konsolidasian. Penurunan yang menghapus nilai kenaikan yang sebelumnya atas aset yang sama dibebankan terhadap  revaluasi aset tetap sebagai bagian dari laba komprehensif, penurunan lainnya dibebankan pada laporan laba rugi konsolidasian.
Biaya pengurusan hak legal atas tanah ketika tanah diperoleh pertama kali diakui sebagai bagian dari biaya perolehan tanah. Biaya perpanjangan atau pembaruan hak legal atas tanah dibebankan dalam laba rugi konsolidasian pada saat terjadinya karena nilainya tidak material.
Golongan bangunan disusutkan dengan menggunakan metode garis lurus (straight-line method) berdasarkan taksiran masa manfaat ekonomis 20 (dua puluh) tahun. Aset tetap lainnya disusutkan dengan metode garis lurus (straight-line method) berdasarkan taksiran masa manfaat ekonomis 5 (lima) tahun. Pada tahun 2025, beberapa Entitas Anak mengubah estimasi akuntansi terkait taksiran masa manfaat ekonomis untuk golongan aset tetap selain bangunan. Pengaruh perbedaan metode penyusutan tersebut tidak material terhadap laporan keuangan konsolidasian. Untuk semua aset tetap, Grup menetapkan nilai residu nihil untuk perhitungan penyusutan.
Biaya-biaya setelah pengakuan awal diakui sebagai bagian nilai tercatat aset atau sebagai aset yang terpisah, sebagaimana mestinya, hanya jika kemungkinan besar Grup mendapat manfaat ekonomis dari pengeluaran tersebut di masa mendatang, berkenaan dengan aset tersebut dan biaya perolehan aset dapat diukur dengan andal. Nilai tercatat dari komponen yang diganti dihapuskan, biaya perbaikan dan pemeliharaan dibebankan ke dalam laporan laba rugi dan penghasilan komprehensif lain konsolidasian dalam periode keuangan ketika biaya-biaya tersebut terjadi.
Bangunan dalam penyelesaian dinyatakan sebesar biaya perolehan. Akumulasi biaya perolehan akan dipindahkan ke akun bangunan pada saat bangunan tersebut selesai dikerjakan dan siap digunakan.
Apabila aset tetap dilepas, maka nilai harga perolehan dan akumulasi penyusutannya dikeluarkan dari laporan posisi keuangan konsolidasian, dan keuntungan atau kerugian yang dihasilkan diakui dalam laporan laba rugi konsolidasian. Jika aset yang direvaluasi dijual, jumlah yang dicatat di dalam ekuitas dipindahkan ke saldo laba.
Pada setiap tanggal pelaporan, nilai residu, masa manfaat, dan metode penyusutan dikaji ulang, dan jika diperlukan, akan disesuaikan sesuai dengan ketentuan PSAK yang berlaku.
Jika nilai tercatat aset tetap yang diukur dengan model biaya lebih besar dari nilai estimasi yang dapat diperoleh kembali, nilai tercatat aset tetap diturunkan menjadi sebesar nilai yang dapat diperoleh kembali dan rugi penurunan nilai aset diakui dalam laporan laba rugi dan penghasilan komprehensif lain konsolidasian tahun berjalan.</t>
  </si>
  <si>
    <t>Dewan Standar Akuntansi Keuangan Ikatan Akuntan Indonesia (DSAK-IAI) telah menerbitkan standar baru, amandemen dan interpretasi berikut, namun belum berlaku efektif untuk tahun buku yang dimulai pada 1 Januari 2025 sebagai berikut:
- Amandemen PSAK 109  Keuangan terkait penghentian pengakuan liabilitas keuangan, serta klarifikasi penilaian karakteristik arus kas untuk aset keuangan dengan fitur ESG-linked, aset keuangan dengan fitur non-recourse, dan instrumen yang terikat secara kontraktual seperti tranche; dan
- Amandemen PSAK 107  Keuangan : Pengungkapan terkait persyaratan pengungkapan investasi pada instrumen ekuitas yang diukur pada nilai wajar melalui penghasilan komprehensif lain dan penambahan ketentuan terkait instrumen keuangan dengan persyaratan kontraktual yang mengubah waktu atau jumlah arus kas kontraktual.
Standar tersebut akan berlaku efektif pada 1 Januari 2026.
- PSAK 118  dan Pengungkapan dalam Laporan Keuangan.
Standar tersebut akan berlaku efektif pada 1 Januari 2027.
Pada saat penerbitan laporan keuangan konsolidasian, Grup masih mengevaluasi dampak yang mungkin timbul dari penerapan standar baru tersebut serta pengaruhnya pada laporan keuangan konsolidasian Grup.</t>
  </si>
  <si>
    <t>g.1.  Aset keuangan 
Sesuai dengan PSAK 109, Grup mengklasifikasikan aset keuangannya dalam kategori (a) aset keuangan yang diukur pada biaya perolehan diamortisasi, (b) aset keuangan yang diukur pada nilai wajar melalui penghasilan komprehensif lain, dan (c) aset keuangan yang diukur pada nilai wajar melalui laba rugi.
Grup menggunakan 2 (dua) dasar untuk mengklasifikasikan aset keuangan yaitu model bisnis Grup dalam mengelola aset keuangan dan karakteristik arus kas kontraktual pembayaran pokok dan bunga (Solely Payment of Principal and Interest ()) dari aset keuangan. 
Penilaian model bisnis 
Grup menentukan model bisnisnya berdasarkan tingkat yang paling mencerminkan bagaimana Grup mengelola kelompok aset keuangan yang dimiliki untuk mencapai tujuan bisnisnya. 
Model bisnis Grup tidak dinilai berdasarkan masing-masing instrumennya, tetapi pada tingkat portofolio secara agregat yang lebih tinggi dan didasarkan pada faktor-faktor yang dapat diamati seperti: 
  Bagaimana kinerja model bisnis dan aset keuangan yang dimiliki dalam model bisnis tersebut dievaluasi dan dilaporkan kepada personel manajemen kunci; 
  Risiko yang mempengaruhi kinerja model bisnis (dan aset keuangan yang dimiliki dalam model bisnis tersebut) dan, khususnya, bagaimana cara risiko tersebut dikelola; 
 Bagaimana manajer bisnis dikompensasi (misalnya, apakah kompensasi didasarkan pada nilai wajar dari aset yang dikelola atau pada arus kas kontraktual yang tertagih); 
 Frekuensi, nilai, dan waktu penjualan yang diharapkan, juga merupakan aspek penting dari penilaian Grup. 
Penilaian model bisnis didasarkan pada skenario yang diharapkan secara wajar tanpa mempertimbangkan skenario  case atau  case. Jika arus kas setelah pengakuan awal direalisasikan dengan cara yang berbeda dari yang awal diharapkan, Grup tidak mengubah klasifikasi aset keuangan dimiliki yang tersisa dalam model bisnis tersebut, tetapi memasukkan informasi tersebut dalam melakukan penilaian atas aset keuangan yang baru atau yang baru dibeli selanjutnya. 
Pengujian SPPI 
Sebagai langkah pertama dari proses klasifikasi, Grup menilai persyaratan kontraktual keuangan untuk mengidentifikasi apakah mereka memenuhi pengujian SPPI. 
Pokok pinjaman untuk tujuan pengujian ini didefinisikan sebagai nilai wajar dari aset keuangan pada pengakuan awal dan dapat berubah selama umur aset keuangan (misalnya, jika ada pembayaran pokok atau amortisasi premi/diskon).
Elemen bunga yang paling signifikan dalam perjanjian kredit biasanya adalah pertimbangan atas nilai waktu dari uang dan risiko kredit. Untuk membuat penilaian SPPI, Grup menerapkan pertimbangan dan memperhatikan faktor-faktor yang relevan seperti mata uang di mana aset keuangan didenominasikan dan periode pada saat suku bunga ditetapkan.
Sebaliknya, persyaratan kontraktual yang memberikan eksposur lebih dari de minimis atas risiko atau volatilitas dalam arus kas kontraktual yang tidak terkait dengan dasar pengaturan pinjaman, tidak menimbulkan arus kas kontraktual SPPI atas jumlah saldo. Dalam kasus seperti itu, aset keuangan diharuskan untuk diukur pada nilai wajar.
Aset keuangan diukur pada biaya perolehan diamortisasi
Aset keuangan diukur dengan biaya perolehan diamortisasi hanya jika memenuhi kedua kondisi berikut:
 Aset keuangan dikelola dalam model bisnis yang bertujuan untuk memiliki aset keuangan untuk tujuan mendapatkan arus kas kontraktual; dan
 Persyaratan kontraktual dari aset keuangan yang pada tanggal tertentu menghasilkan arus kas yang merupakan pembayaran pokok dan bunga semata dari jumlah pokok terutang.
Pada saat pengakuan awal, aset keuangan diukur pada biaya perolehan diamortisasi diakui pada nilai wajarnya ditambah biaya transaksi dan selanjutnya diukur pada biaya perolehan diamortisasi dengan menggunakan suku bunga efektif dikurangi cadangan kerugian penurunan nilai.
Pendapatan bunga dari aset keuangan diukur pada biaya perolehan diamortisasi dicatat dalam laporan laba rugi dan penghasilan komprehensif lain konsolidasian dan diakui sebagai  bunga. Ketika penurunan nilai terjadi, kerugian penurunan nilai diakui sebagai pengurang dari nilai tercatat investasi dan diakui di dalam laporan keuangan konsolidasian sebagai  kerugian penurunan nilai atas aset keuangan.
 Aset keuangan diukur pada nilai wajar melalui penghasilan komprehensif lain
Aset keuangan diukur pada nilai wajar melalui penghasilan komprehensif lain, hanya jika memenuhi kedua kondisi berikut:
 Aset keuangan dikelola dalam model bisnis yang bertujuan untuk mendapatkan arus kas kontraktual dan menjual aset keuangan; dan
 Persyaratan kontraktual dari aset keuangan yang pada tanggal tertentu menghasilkan arus kas yang merupakan pembayaran pokok dan bunga semata dari jumlah pokok terutang.
Pada saat pengakuan awal, aset keuangan diukur pada nilai wajar melalui penghasilan komprehensif lain diakui pada nilai wajarnya ditambah biaya transaksi dan selanjutnya diukur pada nilai wajarnya di mana keuntungan atau kerugian diakui pada laporan laba rugi komprehensif lain kecuali untuk kerugian penurunan nilai dan laba rugi selisih kurs, hingga aset keuangan dihentikan pengakuannya. Jika aset keuangan diukur pada nilai wajar melalui penghasilan komprehensif lain mengalami penurunan nilai, akumulasi laba atau rugi yang sebelumnya diakui pada pendapatan (beban) komprehensif lainnya, diakui pada laba rugi. Pendapatan bunga dihitung menggunakan metode suku bunga efektif dan keuntungan atau kerugian yang timbul akibat perubahan nilai tukar dari aset moneter yang diklasifikasikan sebagai kelompok diukur pada nilai wajar melalui penghasilan komprehensif lain diakui pada laporan laba rugi dan penghasilan komprehensif lain konsolidasian.
 Aset keuangan yang diukur pada nilai wajar melalui laba rugi
Seluruh aset keuangan yang tidak diklasifikasikan sebagai aset keuangan yang diukur dengan biaya perolehan diamortisasi atau aset keuangan diukur pada nilai wajar melalui penghasilan komprehensif lain sebagaimana ketentuan di atas diukur pada nilai wajar melalui laba rugi.
Instrumen keuangan yang dikelompokkan ke dalam kategori ini diakui pada nilai wajarnya pada saat pengakuan awal; biaya transaksi diakui secara langsung ke dalam laporan laba rugi dan penghasilan komprehensif lain konsolidasian. Keuntungan dan kerugian yang timbul dari perubahan nilai wajar dan penjualan instrumen keuangan diakui di dalam laporan laba rugi dan penghasilan komprehensif lain konsolidasian dan dicatat masing- sebagai  (kerugian) dari perubahan nilai wajar instrumen keuangan dan  (kerugian) dari penjualan instrumen keuangan. Pendapatan bunga dari instrumen keuangan dalam kelompok diukur pada nilai wajar melalui laba rugi dicatat sebagai pendapatan bunga dalam kelompok pendapatan transaksi yang diukur pada nilai wajar melalui laba rugi - bersih.
Grup mengukur semua investasi ekuitas pada nilai wajar melalui laba rugi. Jika Grup telah memilih untuk menyajikan keuntungan atau kerugian nilai wajar atas investasi ekuitas dalam penghasilan komprehensif lain, tidak ada reklasifikasi keuntungan dan kerugian nilai wajar ke laba rugi setelah penghentian pengakuan investasi tersebut. 
Modifikasi aset keuangan
Grup terkadang melakukan renegosiasi atau dalam hal lain modifikasi atas arus kas kontraktual dari aset keuangan dalam bentuk pinjaman. Jika ini terjadi, Grup menilai apakah syarat-syarat pinjaman yang baru berbeda secara substansial dibanding dengan syarat-syarat pinjaman sebelumnya. Grup melakukan hal ini dengan mempertimbangkan, antara lain, faktor-faktor di bawah ini: 
 Jika peminjam berada dalam kesulitan keuangan, apakah modifikasi tersebut mengurangi arus kas kontraktual ke nilai yang diharapkan dapat dibayarkan oleh peminjam; 
 Perpanjangan signifikan dari waktu pinjaman di mana peminjam tidak berada dalam kesulitan keuangan; 
 Perubahan signifikan dari suku bunga; dan 
 Perubahan mata uang pinjaman.  
Apabila syarat-syarat tersebut berbeda secara substansial, Grup menghentikan pengakuan aset keuangan awal dan mengakui aset keuangan yang  pada nilai wajarnya dan menghitung kembali suku bunga efektif yang baru untuk aset tersebut. Tanggal renegosiasi syarat pinjaman dianggap sebagai tanggal pengakuan awal untuk keperluan perhitungan penurunan nilai, termasuk untuk menentukan apakah terdapat kenaikan signifikan risiko kredit. Namun, Grup juga menilai apakah aset keuangan baru dianggap sebagai aset keuangan yang mengalami penurunan nilai pada pengakuan awal, terutama dalam keadaan di mana renegosiasi didorong oleh peminjam yang tidak dapat melakukan pembayaran yang sudah disetujui sebelumnya. 
Apabila syarat-syarat tersebut tidak berbeda secara substansial, renegosiasi atau modifikasi tidak menghasilkan penghentian pengakuan, dan Grup menghitung kembali nilai tercatat bruto berdasarkan arus kas yang sudah dimodifikasi dari aset keuangan dan mengakui laba atau rugi modifikasian di laporan laba rugi dan penghasilan komprehensif lain konsolidasian. Nilai tercatat bruto yang baru dihitung kembali dengan mendiskontokan arus kas yang telah dimodifikasi dengan menggunakan tingkat suku bunga efektif awal.
Reklasifikasi aset keuangan
Grup diperkenankan untuk melakukan reklasifikasi atas aset keuangan yang dimiliki jika Grup mengubah model bisnis untuk pengelolaan aset keuangan.
Perubahan model bisnis sifatnya harus berdampak secara signifikan terhadap kegiatan operasional Grup seperti memperoleh, melepaskan, atau mengakhiri suatu lini bisnis. Selain itu, Grup perlu membuktikan adanya perubahan tersebut kepada pihak eksternal. 
Grup akan mereklasifikasi seluruh aset keuangan yang terkena dampak dari perubahan model bisnis. Perubahan tujuan model bisnis Grup harus berdampak sebelum tanggal reklasifikasi.  
g.2.  Liabilitas keuangan
Grup mengklasifikasikan liabilitas keuangan dalam kategori (a) liabilitas keuangan yang diukur pada nilai wajar melalui laba rugi dan (b) liabilitas keuangan yang diukur dengan biaya perolehan diamortisasi.
(a)  Liabilitas keuangan yang diukur pada nilai wajar melalui laba rugi
Liabilitas keuangan diklasifikasikan sebagai liabilitas keuangan yang diukur pada nilai wajar melalui laba rugi jika diperoleh atau dimiliki terutama untuk tujuan dijual atau dibeli kembali dalam waktu dekat atau jika merupakan bagian dari portofolio instrumen keuangan tertentu yang dikelola bersama dan terdapat bukti mengenai pola ambil untung dalam jangka pendek (short-term profit-taking) yang terkini. Derivatif diklasifikasikan sebagai instrumen liabilitas keuangan yang diukur pada nilai wajar melalui laba rugi kecuali ditetapkan dan efektif sebagai instrumen lindung nilai.
Keuntungan dan kerugian yang timbul dari perubahan nilai wajar liabilitas keuangan yang diklasifikasikan sebagai liabilitas keuangan yang diukur pada nilai wajar melalui laba rugi dicatat dalam laporan laba rugi dan penghasilan komprehensif lain konsolidasian sebagai  (kerugian) dari perubahan nilai wajar instrumen keuangan. Beban bunga dari liabilitas keuangan diklasifikasikan sebagai liabilitas keuangan yang diukur pada nilai wajar melalui laba rugi dicatat sebagai  bunga dalam kelompok pendapatan transaksi yang diukur pada nilai wajar melalui laba rugi.
(b)  Liabilitas keuangan yang diukur dengan biaya perolehan diamortisasi
Liabilitas keuangan yang tidak diklasifikasikan sebagai liabilitas keuangan yang diukur pada nilai wajar melalui laba rugi dikategorikan dan diukur dengan biaya perolehan diamortisasi.
Pada saat pengakuan awal, liabilitas keuangan yang diukur dengan biaya perolehan diamortisasi diukur pada nilai wajar ditambah biaya transaksi (jika ada).
Setelah pengakuan awal, Grup mengukur seluruh liabilitas keuangan yang diukur dengan biaya perolehan diamortisasi dengan menggunakan metode suku bunga efektif.</t>
  </si>
  <si>
    <t>Grup mencatat goodwill sebesar selisih dari imbalan yang dialihkan dengan jumlah kepentingan non-pengendali, dan nilai wajar pada tanggal akuisisi dari kepentingan ekuitas sebelumnya atas nilai wajar aset bersih teridentifikasi. Jika jumlah tersebut kurang dari nilai wajar aset bersih teridentifikasi dari bisnis yang diakuisisi, selisihnya diakui secara langsung dalam laba rugi sebagai pembelian dengan diskon.</t>
  </si>
  <si>
    <t>ag.1. Kewajiban jangka pendek
 Liabilitas untuk upah dan gaji, termasuk imbalan non-moneter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dipresentasikan sebagai kewajiban imbalan kerja masa kini pada laporan posisi keuangan konsolidasian.
ag.2. Kewajiban pensiun
 Entitas-entitas di dalam Grup mengoperasikan berbagai skema pensiun. Grup memiliki program imbalan pasti dan iuran pasti. Program iuran pasti merupakan program pensiun di mana Grup membayar sejumlah iuran tertentu kepada entitas (dana) yang terpisah. Grup tidak memiliki kewajiban hukum atau konstruktif untuk membayar iuran lebih lanjut jika entitas tersebut tidak memiliki aset yang cukup untuk membayar seluruh imbalan atas jasa yang diberikan pekerja pada periode berjalan maupun periode lalu. Program imbalan pasti merupakan program yang ditentukan berdasarkan jumlah imbalan pensiun yang akan diterima seorang pekerja pada saat pensiun, biasanya tergantung oleh satu faktor atau lebih, misalnya usia, masa bekerja dan kompensasi.
 Sehubungan dengan program imbalan pasti, liabilitas diakui pada laporan posisi keuangan konsolidasian sebesar nilai kini kewajiban imbalan pasti pada akhir periode pelaporan dikurangi nilai wajar aset program. Kewajiban imbalan pasti dihitung setiap tahun oleh aktuaris yang independen dengan menggunakan metode projected unit credit. Nilai kini kewajiban imbalan pasti ditentukan dengan mendiskontokan arus kas keluar yang diestimasi dengan menggunakan tingkat bunga Obligasi Pemerintah (dikarenakan saat ini tidak ada pasar aktif untuk obligasi perusahaan yang berkualitas tinggi) yang didenominasikan dalam mata uang di mana imbalan akan dibayarkan dan memiliki jangka waktu jatuh tempo mendekati jangka waktu kewajiban pensiun. 
Biaya bunga bersih dihitung dengan menerapkan tingkat diskonto terhadap saldo bersih kewajiban imbalan pasti dan nilai wajar aset program. Biaya ini termasuk dalam beban imbalan kerja dalam laporan laba rugi dan penghasilan komprehensif lain konsolidasian.
Keuntungan dan kerugian atas pengukuran kembali yang timbul dari penyesuaian dan perubahan dalam asumsi-asumsi aktuarial langsung diakui seluruhnya melalui penghasilan komprehensif lainnya konsolidasian pada saat terjadinya. Keuntungan dan kerugian ini termasuk didalam laba ditahan pada laporan perubahan ekuitas dan pada laporan laba rugi dan penghasilan komprehensif lain konsolidasian.
Perubahan nilai kini atas kewajiban imbalan pasti yang timbul dari amandemen rencana atau program kurtailmen diakui dalam laporan laba rugi dan penghasilan komprehensif lain konsolidasian sebagai biaya jasa lalu pada saat terjadinya.
Untuk program iuran pasti, Grup membayar iuran program pensiun baik karena diwajibkan, berdasarkan kontrak atau sukarela. Namun karena Undang-Undang Ketenagakerjaan mengharuskan entitas membayar jumlah tertentu kepada para pekerja yang telah memasuki usia pensiun yang ditentukan berdasarkan masa kerja, Grup rentan terhadap kemungkinan untuk membayar kekurangan apabila iuran kumulatif kurang dari jumlah tertentu. Sebagai akibatnya untuk tujuan pelaporan keuangan, program iuran pasti secara efektif diberlakukan seolah-olah sebagai program imbalan pasti.
ag.3. Kewajiban pasca-kerja lainnya
 Bank memberikan imbalan kesehatan pasca-kerja untuk karyawan. Imbalan ini biasanya diberikan kepada karyawan yang tetap bekerja sampai usia pensiun dan memenuhi masa kerja minimum. Biaya yang diharapkan timbul atas imbalan ini dicadangkan selama masa kerja dengan menggunakan metode projected unit credit. Kewajiban ini dinilai setiap tahun oleh aktuaris independen yang memenuhi syarat.
ag.4. Pesangon pemutusan kontrak kerja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237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t>
  </si>
  <si>
    <t>Laporan keuangan konsolidasian mencakup laporan keuangan Bank dan Entitas Anak.
Entitas Anak adalah seluruh entitas di mana Grup memiliki pengendalian. Grup mengendalikan entitas lain ketika Grup terekspos atas, atau memiliki hak untuk, pengembalian yang bervariasi dari keterlibatannya dengan entitas dan memiliki kemampuan untuk mempengaruhi pengembalian tersebut melalui  pengendaliannya atas entitas tersebut. Entitas Anak dikonsolidasikan secara penuh sejak tanggal di mana pengendalian dialihkan kepada Grup. Entitas Anak tidak dikonsolidasikan lagi sejak tanggal di mana Grup kehilangan pengendalian.
Grup menerapkan metode akuisisi untuk mencatat kombinasi bisnis. Imbalan yang dialihkan untuk akuisisi suatu Entitas Anak adalah sebesar nilai wajar aset yang dialihkan, liabilitas yang diakui terhadap pemilik pihak yang diakuisisi sebelumnya termasuk aset atau liabilitas yang timbul dari kesepakatan imbalan kontinjensi dan kepentingan ekuitas yang diterbitkan oleh Grup. Aset teridentifikasi yang diperoleh dan liabilitas serta liabilitas kontinjensi yang diambil alih dalam suatu kombinasi bisnis diukur pada awalnya sebesar nilai wajar pada tanggal akuisisi. Grup mengakui kepentingan non-pengendali pada pihak yang diakuisisi baik sebesar nilai wajar atau sebesar bagian proporsional kepentingan non-pengendali atas aset neto pihak yang diakuisisi. Biaya yang terkait dengan akuisisi dibebankan pada saat terjadinya.
Grup mencatat goodwill sebesar selisih dari imbalan yang dialihkan dengan jumlah kepentingan non-pengendali, dan nilai wajar pada tanggal akuisisi dari kepentingan ekuitas sebelumnya atas nilai wajar aset bersih teridentifikasi. Jika jumlah tersebut kurang dari nilai wajar aset bersih teridentifikasi dari bisnis yang diakuisisi, selisihnya diakui secara langsung dalam laba rugi sebagai pembelian dengan diskon.
Imbalan kontinjensi yang masih harus dialihkan oleh Grup diakui sebesar nilai wajar pada tanggal akuisisi. Perubahan selanjutnya atas nilai wajar imbalan kontinjensi yang diakui sebagai aset atau liabilitas dan dicatat sesuai dengan PSAK 109  Keuangan: Pengakuan dan Pengukuran dalam laporan laba rugi dan penghasilan komprehensif lain konsolidasian. Imbalan kontinjensi yang diklasifikasikan sebagai ekuitas tidak diukur kembali dan penyelesaian selanjutnya diperhitungkan dalam ekuitas.
Kepentingan non-pengendali disajikan di ekuitas dalam laporan posisi keuangan konsolidasian, terpisah dari ekuitas yang dapat diatribusikan kepada pemilik, dan dinyatakan sebesar proporsi pemegang saham non-pengendali atas laba Entitas Anak tahun berjalan dan ekuitas yang dapat diatribusikan kepada kepentingan non-pengendali berdasarkan persentase kepemilikan pemegang saham non-pengendali pada Entitas Anak tersebut.
Jika Grup kehilangan pengendalian pada Entitas Anak, maka Grup:
 Menghentikan pengakuan aset dan liabilitas Entitas Anak terdahulu dari laporan posisi keuangan konsolidasian;
 Mengakui sisa investasi pada Entitas Anak terdahulu pada nilai wajarnya pada tanggal hilangnya pengendalian dan selanjutnya mencatat sisa investasi tersebut dan setiap jumlah terutang oleh atau kepada Entitas Anak terdahulu sesuai dengan standar akuntansi keuangan yang relevan; dan
 Mengakui keuntungan atau kerugian terkait hilangnya pengendalian yang dapat diatribusikan pada kepentingan pengendali terdahulu.
Perubahan yang mempengaruhi persentase kepemilikan dan ekuitas Entitas Anak yang tidak mengakibatkan hilangnya pengendalian dicatat sebagai transaksi ekuitas dan disajikan sebagai komponen ekuitas lainnya dalam bagian ekuitas pada laporan posisi keuangan konsolidasian.
Untuk transaksi kombinasi bisnis entitas sepengendali, yaitu berupa pengalihan bisnis yang dilakukan dalam rangka reorganisasi entitas-entitas yang berada dalam suatu kelompok usaha yang sama, bukan merupakan perubahan kepemilikan dalam arti substansi ekonomi, sehingga transaksi tersebut tidak dapat menimbulkan laba atau rugi bagi kelompok usaha secara keseluruhan maupun entitas individual dalam kelompok usaha tersebut.
Transaksi kombinasi bisnis entitas sepengendali, menurut PSAK 338,  Bisnis Entitas Sepengendali diakui pada jumlah tercatat berdasarkan metode penyatuan kepemilikan. 
Seluruh transaksi, saldo, keuntungan dan kerugian intra kelompok usaha di dalam Grup yang material telah dieliminasi.</t>
  </si>
  <si>
    <t>Simpanan dari nasabah adalah dana yang dipercayakan oleh masyarakat (di luar bank) kepada Bank berdasarkan perjanjian penyimpanan dana. Termasuk dalam pos ini adalah giro, tabungan, deposito berjangka dan sertifikat deposito.
Simpanan dari bank lain terdiri dari liabilitas terhadap bank lain, baik lokal maupun luar negeri, dalam bentuk giro, tabungan, deposito berjangka dan inter-bank call money.
Simpanan dari nasabah dan simpanan dari bank lain diklasifikasikan sebagai liabilitas keuangan yang diukur dengan biaya perolehan diamortisasi. Biaya tambahan yang dapat diatribusikan secara langsung dengan perolehan simpanan nasabah dan simpanan dari bank lain dikurangkan dari jumlah simpanan nasabah dan simpanan dari bank lain. Lihat Catatan 2g untuk kebijakan akuntansi atas liabilitas keuangan yang diukur dengan biaya perolehan diamortisasi.</t>
  </si>
  <si>
    <t>Grup melakukan transaksi dengan pihak berelasi. Sesuai dengan PSAK 224  Pihak-Pihak Berelasi yang dimaksud dengan pihak berelasi adalah orang atau entitas yang berelasi dengan entitas pelapor sebagai berikut:
a. Orang atau anggota keluarga terdekatnya berelasi dengan entitas pelapor jika orang tersebut:
i. memiliki pengendalian atau pengendalian bersama terhadap entitas pelapor;
ii. memiliki pengaruh signifikan terhadap entitas pelapor; atau
iii. personal manajemen kunci entitas pelapor atau entitas induk pelapor.
b. Suatu entitas berelasi dengan entitas pelapor jika memenuhi hal-hal sebagai berikut:
i. entitas dan entitas pelapor adalah anggota dari kelompok usaha yang sama (artinya entitas induk, entitas anak dan entitas anak berikutnya terkait dengan entitas lain);
ii. suatu entitas adalah entitas asosiasi atau ventura bersama bagi entitas lain (atau entitas asosiasi atau ventura bersama yang merupakan anggota suatu kelompok usaha, di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 kerja untuk imbalan kerja dari suatu entitas pelapor atau entitas yang terkait dengan entitas pelapor;
vi. entitas yang dikendalikan atau dikendalikan bersama oleh orang yang diidentifikasi dalam butir (a);
vii. orang yang diidentifikasi, dalam butir (a) (i) memiliki pengaruh signifikan terhadap entitas atau anggota manajemen kunci entitas (atau entitas induk dari entitas).
Jenis transaksi dan saldo dengan pihak berelasi diungkapkan pada Catatan 45.</t>
  </si>
  <si>
    <t>Grup tidak memiliki saldo pinjaman dari bank-bank lain dari pihak berelasi.
(1) Kredit likuiditas Rupiah dari Bank Indonesia 
 Kredit likuiditas Rupiah dari Bank Indonesia merupakan fasilitas kredit yang diperoleh Bank sebagai bank swasta nasional di Indonesia, untuk disalurkan kepada debitur-debitur di Indonesia yang memenuhi persyaratan program fasilitas kredit yang bersangkutan.
Grup tidak memiliki piutang pembiayaan konsumen yang dijadikan sebagai jaminan pinjaman dari bank-bank lain ini.
Seluruh perjanjian di atas mencakup adanya pembatasan-pembatasan tertentu yang umumnya diharuskan untuk fasilitas-fasilitas kredit tersebut, antara lain, pembatasan untuk melakukan penggabungan usaha atau konsolidasi dengan pihak lain, mengadakan perjanjian pinjaman dengan pihak lain selain yang timbul dalam kegiatan usaha yang normal atau melakukan perubahan atas struktur modal dan/atau Anggaran Dasar tanpa adanya pemberitahuan/persetujuan tertulis dari kreditur, dan mempertahankan rasio-rasio keuangan tertentu.</t>
  </si>
  <si>
    <t>Segmen operasi adalah suatu komponen dari entitas yang terlibat dalam aktivitas bisnis yang memperoleh pendapatan dan menimbulkan beban, termasuk pendapatan dan beban terkait dengan transaksi dengan komponen lain dari entitas yang sama, yang hasil operasinya dikaji ulang secara berkala oleh pengambil keputusan operasional untuk membuat keputusan tentang sumber daya yang dialokasikan pada segmen tersebut dan menilai kinerjanya, serta tersedia informasi keuangan yang dapat dipisahkan. Hasil segmen yang dilaporkan kepada pengambil keputusan operasional termasuk komponen-komponen yang dapat diatribusikan secara langsung kepada segmen dan juga yang dapat dialokasikan dengan basis yang wajar. Komponen yang tidak dapat dialokasikan terutama terdiri dari biaya kantor pusat, aset tetap, dan aset/liabilitas pajak penghasilan, termasuk pajak kini dan pajak tangguhan.
Grup mengelola kegiatan usahanya dan mengidentifikasi segmen yang dilaporkan berdasarkan wilayah geografis dan produk. Beberapa wilayah yang memiliki karakteristik serupa, diagregasikan dan dievaluasi secara berkala oleh manajemen. Laba/rugi dari masing-masing segmen digunakan untuk menilai kinerja masing-masing segmen.</t>
  </si>
  <si>
    <t>Instrumen derivatif diakui pertama-tama pada nilai wajar pada saat kontrak tersebut dilakukan, dan selanjutnya diukur pada nilai wajarnya. Nilai wajar didapatkan dari nilai pasar yang ada dalam pasar aktif, termasuk transaksi yang baru terjadi di pasar dan teknik penilaian, termasuk penggunaan analisis arus kas yang didiskonto dan penggunaan option pricing model. Derivatif dicatat sebagai aset apabila memiliki nilai wajar positif dan sebagai liabilitas apabila memiliki nilai wajar negatif.</t>
  </si>
  <si>
    <t>Aset takberwujud terdiri dari perangkat lunak dan goodwill.
Perangkat lunak
Perangkat lunak dicatat sebesar biaya perolehan dikurangi akumulasi amortisasi dan akumulasi rugi penurunan nilai aset. Biaya yang dikeluarkan untuk memperoleh lisensi perangkat lunak komputer dan mempersiapkan perangkat lunak tersebut sehingga siap untuk digunakan dikapitalisasi. Biaya yang terkait dengan pemeliharaan program perangkat lunak diakui sebagai beban pada saat terjadinya. Biaya pengembangan yang dapat secara langsung diatribusikan kepada desain dan pengujian produk perangkat lunak yang dapat diidentifikasi dan unik yang dikendalikan oleh Grup diakui sebagai perangkat lunak. Pengeluaran pengembangan yang lain yang tidak memenuhi kriteria ini diakui sebagai beban pada saat terjadinya. Biaya pengembangan yang sebelumnya diakui sebagai beban tidak dapat diakui sebagai aset pada periode berikutnya. 
Perangkat lunak diamortisasi dengan menggunakan metode garis lurus (straight-line method)  berdasarkan taksiran masa manfaat ekonomis aset 5 (lima) tahun bagi Bank. Perangkat lunak diamortisasi dengan menggunakan metode saldo menurun ganda (double-declining balance method) bagi PT BCA Digital, sedangkan bagi Entitas Anak lainnya menggunakan metode garis lurus (straight-line method) dengan berdasarkan taksiran masa manfaat ekonomis aset yang berkisar antara 4 (empat) sampai dengan 8 (delapan) tahun. Amortisasi diakui dalam laba rugi konsolidasian tahun berjalan. Pengaruh perbedaan metode amortisasi tersebut tidak material terhadap laporan keuangan konsolidasian.
Pada tahun 2025, Entitas Anak mengubah kebijakan akuntansi terkait metode amortisasi dan masa manfaat ekonomis untuk perangkat lunak, menjadi metode garis lurus (straight-line method) berdasarkan taksiran masa manfaat ekonomis aset 5 (lima) tahun bagi Entitas Anak. Perubahan kebijakan akuntansi tersebut tidak material terhadap laporan keuangan konsolidasian.
Goodwill
Kebijakan akuntansi Grup untuk goodwill dan kerugian penurunan nilai dibahas di Catatan 2e dan 2h.</t>
  </si>
  <si>
    <t>Dewan Standar Akuntansi Keuangan Ikatan Akuntan Indonesia (-IAI) telah menerbitkan amandemen dan interpretasi yang berlaku efektif mulai 1 Januari 2025 sebagai berikut:
- PSAK 117  Asuransi 
- Amendemen PSAK 117  Asuransi tentang Penerapan Awal PSAK 117 dan PSAK 109  Informasi Komparatif ; dan 
- Amendemen PSAK 221  Perubahan Kurs Valuta Asing.
PSAK 117 dan PSAK 109
Entitas Anak telah menerapkan PSAK 117 tentang  Asuransi bersamaan dengan penerapan PSAK 109 tentang  Keuangan mulai tahun berjalan.
Dikarenakan penerapan standar-standar ini tidak menimbulkan pengaruh yang material atas jumlah yang dilaporkan atas tahun berjalan dan sebelumnya, Manajemen memutuskan untuk mencatat dampak penerapan tersebut pada laporan keuangan konsolidasian tahun berjalan.</t>
  </si>
  <si>
    <t>Laporan keuangan konsolidasian ini disajikan dalam Rupiah, yang merupakan mata uang fungsional Bank. Kecuali dinyatakan secara khusus, informasi keuangan yang disajikan telah dibulatkan menjadi jutaan Rupiah yang terdekat. 
Laporan keuangan konsolidasian disusun berdasarkan konsep harga perolehan, kecuali untuk aset tetap - kelompok tanah, aset keuangan diukur pada nilai wajar melalui penghasilan komprehensif lain, dan aset dan liabilitas keuangan (termasuk instrumen derivatif) diukur pada nilai wajar melalui laba rugi, yang diukur berdasarkan nilai wajar.
Laporan keuangan konsolidasian menggunakan dasar akrual kecuali untuk laporan arus kas konsolidasian.
Laporan arus kas konsolidasian menyajikan perubahan dalam kas dan setara kas dari aktivitas operasi, investasi, dan pendanaan, dan disusun dengan menggunakan metode langsung. Untuk tujuan penyajian laporan arus kas konsolidasian, kas dan setara kas meliputi kas, giro pada Bank Indonesia, giro pada bank-bank lain, penempatan pada Bank Indonesia dan bank-bank lain dengan jatuh tempo 3 (tiga) bulan atau kurang, sepanjang tidak digunakan sebagai jaminan atas pinjaman yang diterima serta tidak dibatasi penggunaannya.</t>
  </si>
  <si>
    <t>Efek-efek yang dibeli dengan janji dijual kembali (reverse repo) disajikan sebagai aset dalam laporan keuangan konsolidasian sebesar harga jual kembali efek-efek yang disepakati dikurangi selisih antara harga beli dan harga jual kembali yang disepakati. Selisih antara harga beli dan harga jual kembali yang disepakati tersebut diamortisasi dengan metode suku bunga efektif sebagai pendapatan bunga selama jangka waktu sejak efek-efek tersebut dibeli hingga dijual kembali (reverse repo). Efek-efek yang dibeli dengan janji dijual kembali diklasifikasikan sebagai aset keuangan yang diukur pada biaya perolehan diamortisasi. Lihat Catatan 2g untuk kebijakan akuntansi atas aset keuangan yang diukur pada biaya perolehan diamortisasi.
Efek-efek yang dijual dengan janji dibeli kembali (repo) disajikan sebagai kewajiban sebesar harga pembelian kembali yang disepakati dikurangi beban bunga yang belum diamortisasi. Beban bunga yang belum diamortisasi merupakan selisih antara harga jual dan harga beli kembali yang disepakati tersebut dan diakui sebagai beban bunga selama jangka waktu sejak efek dijual hingga dibeli kembali. Efek yang dijual tetap dicatat sebagai aset dalam laporan posisi keuangan konsolidasian karena secara substansi kepemilikan efek tetap berada pada pihak Grup sebagai penjual. Efek-efek yang dijual dengan janji dibeli kembali (repo) diklasifikasikan sebagai liabilitas keuangan yang diukur pada biaya perolehan diamortisasi. Lihat Catatan 2g untuk kebijakan akuntansi atas liabilitas keuangan yang diukur pada biaya</t>
  </si>
  <si>
    <t>Obligasi subordinasi diklasifikasikan sebagai liabilitas keuangan yang diukur dengan biaya perolehan diamortisasi. Biaya tambahan yang dapat diatribusikan secara langsung dengan penerbitan obligasi subordinasi dikurangkan dari jumlah obligasi subordinasi yang diterima. Lihat Catatan 2g untuk kebijakan akuntansi atas liabilitas keuangan yang diukur dengan biaya perolehan diamortisasi.</t>
  </si>
  <si>
    <t>Pada tanggal 31 Desember 2025 dan 2024, terdapat aset hak guna - bersih pada pihak berelasi masing-masing sebesar Rp 230.160 dan Rp 243.940 (Catatan 45).
Estimasi persentase tingkat penyelesaian aset dalam penyelesaian pada tanggal 
31 Desember 2025 dan 2024 adalah masing-masing berkisar 1%-99%.
 Revaluasi aset tanah
 Bank melakukan revaluasi atas golongan tanah, yang dilakukan oleh penilai independen eksternal sesuai dengan Standar Penilaian Indonesia (), Kode Etik Penilai Indonesia () dan POJK No. 28/POJK.04/2021 tentang Penilaian dan Penyajian Laporan Penilaian Properti di Pasar Modal.
 Selisih penilaian kembali tanah tahun 2024 dicatat sebagai  revaluasi aset tetap dan disajikan pada penghasilan komprehensif lain sebesar Rp 238.934. Penurunan bersih nilai tercatat yang timbul dari revaluasi tahun 2024 sebesar Rp 1.267 diakui dalam laba rugi konsolidasian.
 Selisih penilaian kembali tanah tahun 2025 dicatat sebagai  revaluasi aset tetap dan disajikan pada penghasilan komprehensif lain sebesar Rp 254.503. Kenaikan bersih nilai tercatat yang timbul dari revaluasi tahun 2025 sebesar Rp 9.204 diakui dalam laba rugi konsolidasian.
 Nilai wajar tanah ditentukan berdasarkan pendekatan pasar (market approach) dengan cara membandingkan beberapa transaksi tanah yang sebanding yang telah terjadi maupun yang masih dalam tahap penawaran penjualan dari suatu proses jual beli, dengan menyesuaikan perbedaan-perbedaan di antara tanah yang dinilai dengan data pembanding dan catatan-catatan harga tanah yang diperoleh. Perbandingan ini juga menyangkut faktor lokasi, hak atas properti, karakteristik fisik, penggunaannya, dan elemen pembanding lainnya.
 Pengukuran nilai wajar untuk tanah termasuk dalam hierarki nilai wajar level 2 berdasarkan input-input dalam teknik penilaian yang digunakan.
 Pada tanggal 31 Desember 2025 dan 2024, nilai tercatat tanah Bank seandainya tanah tersebut dicatat dengan model biaya adalah masing-masing sebesar Rp 4.570.935 dan Rp 4.510.689.
 Informasi lainnya
 Bank tidak memiliki aset tetap yang dijadikan jaminan.
Beban penyusutan masing-masing sejumlah Rp 2.411.177 dan Rp 2.017.399 untuk tahun yang berakhir 31 Desember 2025 dan 2024 dibebankan ke dalam beban umum dan administrasi.
 Laba atas penjualan aset tetap selama tahun berakhir 31 Desember 2025 dan 2024 masing-masing sebesar Rp 4.370  dan Rp 2.682 diakui sebagai bagian dari pendapatan operasional lainnya.
 Rugi atas penjualan aset tetap selama tahun berakhir 31 Desember 2025 dan 2024 masing-masing sebesar Rp 9.665 dan Rp 1.726 diakui sebagai bagian beban operasional lainnya.
 Bank telah mengasuransikan aset tetap (tidak termasuk hak atas tanah) untuk menutupi kemungkinan kerugian terhadap risiko kebakaran, pencurian, dan bencana alam dengan nilai pertanggungan asuransi pada tanggal 31 Desember 2025 sebesar Rp 30.608.291, dan pada tanggal 31 Desember 2024 sebesar Rp 27.220.336. Manajemen yakin bahwa nilai pertanggungan tersebut telah memadai untuk menutup kerugian yang mungkin terjadi atas aset tetap yang dipertanggungkan.
 Pada tanggal 31 Desember 2025 dan 2024, harga perolehan dari aset tetap yang telah disusutkan penuh dan masih digunakan adalah masing-masing sebesar Rp 2.754.719 dan Rp 1.488.316. 
 Pada tanggal 31 Desember 2025 dan 2024, Bank tidak mempunyai aset tetap yang tidak dipakai sementara, maupun aset tetap yang dihentikan dari penggunaan aktif yang tidak diklasifikasikan sebagai tersedia untuk dijual.
Manajemen berkeyakinan, tidak terdapat kerugian penurunan nilai atas aset tetap selama tahun 2025 dan 2024.
 Hak Guna
 Pada tanggal 31 Desember 2025 dan 2024, liabilitas sewa pembiayaan dalam posisi keuangan Grup adalah masing-masing sebesar Rp 283.587  dan Rp 302.470 dicatat sebagai beban yang masih harus dibayar dan liabilitas lain-lain (Catatan 23). Beban bunga atas liabilitas sewa pembiayaan pada tanggal 31 Desember 2025 dan 2024 adalah masing-masing sebesar Rp 21.553 dan Rp 21.495 dicatat sebagai bagian dari beban bunga dan syariah (Catatan 29).</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</si>
  <si>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 mana Grup memiliki akses pada tanggal tersebut. Nilai wajar liabilitas mencerminkan risiko wanprestasinya.
Jika tersedia, Grup mengukur nilai wajar instrumen keuangan dengan menggunakan harga kuotasian di pasar aktif untuk instrumen tersebut.
Instrumen keuangan dianggap memiliki kuotasi di pasar aktif jika harga kuotasi tersedia secara berkala dan dapat diperoleh secara rutin dari bursa, pedagang efek (dealer), perantara efek (broker), kelompok industri, badan pengawas (pricing service atau regulatory agency), dan harga tersebut mencerminkan transaksi pasar yang aktual dan rutin dalam suatu transaksi yang wajar. Jika kriteria di atas tidak terpenuhi, maka pasar aktif dinyatakan tidak tersedia. Indikasi-indikasi dari pasar tidak aktif adalah terdapat selisih yang besar antara harga penawaran dan permintaan atau kenaikan signifikan dalam selisih harga penawaran dan permintaan dan hanya terdapat beberapa transaksi terkini.
Untuk instrumen keuangan yang tidak mempunyai harga pasar, estimasi atas nilai wajar ditetapkan dengan mengacu pada nilai wajar instrumen lain yang substansinya sama atau dihitung berdasarkan arus kas yang diharapkan terhadap aset bersih efek-efek tersebut.
Nilai wajar untuk semua instrumen keuangan lainnya ditentukan dengan menggunakan teknik penilaian. Dengan teknik ini, nilai wajar merupakan suatu estimasi yang dihasilkan dari data yang dapat diobservasi dari instrumen keuangan yang sama, menggunakan model-model untuk mendapatkan estimasi nilai kini dari arus kas masa depan yang diharapkan atau teknik penilaian lainnya menggunakan input yang tersedia pada tanggal laporan posisi keuangan konsolidasian.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</si>
</sst>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x14ac:knownFonts="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4">
    <xf numFmtId="0" fontId="0" fillId="0" borderId="0" xfId="0">
      <alignment vertical="center"/>
    </xf>
    <xf numFmtId="0" fontId="44" fillId="0" borderId="0" xfId="0" applyFont="1" applyAlignment="1">
      <alignment horizontal="left" vertical="top"/>
    </xf>
    <xf numFmtId="0" fontId="45" fillId="0" borderId="0" xfId="0"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Font="1" applyBorder="1" applyAlignment="1">
      <alignment horizontal="left" vertical="top" wrapText="1"/>
    </xf>
    <xf numFmtId="0" fontId="47" fillId="0" borderId="1" xfId="0" applyFont="1" applyBorder="1" applyAlignment="1">
      <alignment horizontal="left" vertical="top" wrapText="1" inden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3"/>
    </xf>
    <xf numFmtId="49" fontId="45" fillId="2" borderId="2" xfId="0" applyNumberFormat="1" applyFont="1" applyFill="1" applyBorder="1" applyAlignment="1">
      <alignment horizontal="center"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48" fillId="0" borderId="0" xfId="43" applyFont="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51" fillId="0" borderId="5" xfId="10" applyFont="1" applyBorder="1" applyAlignment="1">
      <alignment horizontal="left" vertical="top" wrapText="1"/>
    </xf>
    <xf numFmtId="0" fontId="51" fillId="0" borderId="5"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51" fillId="0" borderId="5" xfId="11" applyFont="1" applyBorder="1" applyAlignment="1">
      <alignment horizontal="lef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5" xfId="11" applyFont="1" applyBorder="1" applyAlignment="1">
      <alignment horizontal="righ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9" fillId="0" borderId="0" xfId="13" applyFont="1" applyAlignment="1">
      <alignment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51" fillId="0" borderId="5" xfId="13" applyFont="1" applyBorder="1" applyAlignment="1">
      <alignment horizontal="righ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5" xfId="14" applyFont="1" applyBorder="1" applyAlignment="1">
      <alignment horizontal="left" vertical="top" wrapText="1"/>
    </xf>
    <xf numFmtId="0" fontId="51" fillId="0" borderId="5" xfId="14"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51" fillId="0" borderId="5" xfId="15" applyFont="1" applyBorder="1" applyAlignment="1">
      <alignment horizontal="lef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5" xfId="15" applyFont="1" applyBorder="1" applyAlignment="1">
      <alignment horizontal="righ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51" fillId="0" borderId="5" xfId="16" applyFont="1" applyBorder="1" applyAlignment="1">
      <alignment horizontal="left" vertical="top" wrapText="1"/>
    </xf>
    <xf numFmtId="0" fontId="51" fillId="0" borderId="5"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9" fillId="3" borderId="0" xfId="18" applyFont="1" applyFill="1" applyAlignment="1">
      <alignment horizontal="left" wrapText="1" indent="1"/>
    </xf>
    <xf numFmtId="0" fontId="48" fillId="0" borderId="0" xfId="18" applyFont="1" applyAlignment="1">
      <alignment horizontal="left" vertical="top" wrapText="1"/>
    </xf>
    <xf numFmtId="0" fontId="48" fillId="0" borderId="0" xfId="18" applyFont="1" applyAlignment="1">
      <alignment horizontal="right" vertical="top" wrapTex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9" fillId="0" borderId="0" xfId="19" applyFont="1" applyAlignment="1">
      <alignment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8" fillId="0" borderId="0" xfId="19" applyFont="1" applyAlignment="1">
      <alignment horizontal="left" vertical="top" wrapText="1"/>
    </xf>
    <xf numFmtId="0" fontId="48" fillId="0" borderId="0" xfId="19" applyFont="1" applyAlignment="1">
      <alignment horizontal="right" vertical="top" wrapText="1"/>
    </xf>
    <xf numFmtId="0" fontId="49" fillId="3" borderId="0" xfId="19" applyFont="1" applyFill="1" applyAlignment="1">
      <alignment horizontal="left" wrapText="1" inden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9" fillId="0" borderId="0" xfId="20" applyFont="1" applyAlignment="1">
      <alignment wrapText="1"/>
    </xf>
    <xf numFmtId="0" fontId="49" fillId="3" borderId="0" xfId="20" applyFont="1" applyFill="1" applyAlignment="1">
      <alignment horizontal="left" wrapText="1" indent="1"/>
    </xf>
    <xf numFmtId="0" fontId="48" fillId="0" borderId="0" xfId="20" applyFont="1" applyAlignment="1">
      <alignment horizontal="left" vertical="top" wrapText="1"/>
    </xf>
    <xf numFmtId="0" fontId="48" fillId="0" borderId="0" xfId="20" applyFont="1" applyAlignment="1">
      <alignment horizontal="right" vertical="top" wrapTex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9" fillId="0" borderId="0" xfId="21" applyFont="1" applyAlignment="1">
      <alignment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1" applyFont="1" applyAlignment="1">
      <alignment horizontal="left" vertical="top" wrapText="1"/>
    </xf>
    <xf numFmtId="0" fontId="48" fillId="0" borderId="0" xfId="21" applyFont="1" applyAlignment="1">
      <alignment horizontal="right" vertical="top" wrapText="1"/>
    </xf>
    <xf numFmtId="0" fontId="49" fillId="3" borderId="0" xfId="21" applyFont="1" applyFill="1" applyAlignment="1">
      <alignment horizontal="left" wrapText="1" inden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5" xfId="26" applyFont="1" applyBorder="1" applyAlignment="1">
      <alignment horizontal="right" vertical="top" wrapText="1"/>
    </xf>
    <xf numFmtId="0" fontId="51" fillId="0" borderId="5" xfId="26" applyFont="1" applyBorder="1" applyAlignment="1">
      <alignment horizontal="left" vertical="top" wrapText="1" inden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5" xfId="27" applyFont="1" applyBorder="1" applyAlignment="1">
      <alignment horizontal="righ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5" xfId="27" applyFont="1" applyBorder="1" applyAlignment="1">
      <alignment horizontal="left" vertical="top" wrapText="1" inden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5" xfId="28" applyFont="1" applyBorder="1" applyAlignment="1">
      <alignment horizontal="right" vertical="top" wrapText="1"/>
    </xf>
    <xf numFmtId="0" fontId="51" fillId="0" borderId="5" xfId="28" applyFont="1" applyBorder="1" applyAlignment="1">
      <alignment horizontal="left" vertical="top" wrapText="1" inden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51" fillId="0" borderId="5" xfId="29" applyFont="1" applyBorder="1" applyAlignment="1">
      <alignment horizontal="left" vertical="top" wrapText="1" inden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5" xfId="29" applyFont="1" applyBorder="1" applyAlignment="1">
      <alignment horizontal="right" vertical="top" wrapTex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48" fillId="0" borderId="0" xfId="29" applyFont="1" applyAlignment="1">
      <alignment horizontal="left" vertical="top" wrapText="1"/>
    </xf>
    <xf numFmtId="0" fontId="48" fillId="0" borderId="0" xfId="29" applyFont="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5" xfId="31" applyFont="1" applyBorder="1" applyAlignment="1">
      <alignment horizontal="righ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5" xfId="31" applyFont="1" applyBorder="1" applyAlignment="1">
      <alignment horizontal="left" vertical="top" wrapText="1" inden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48" fillId="0" borderId="0" xfId="32" applyFont="1" applyAlignment="1">
      <alignment horizontal="left" vertical="top" wrapText="1"/>
    </xf>
    <xf numFmtId="0" fontId="48" fillId="0" borderId="0" xfId="32" applyFont="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16.xml"/><Relationship Id="rId68" Type="http://schemas.openxmlformats.org/officeDocument/2006/relationships/externalLink" Target="externalLinks/externalLink21.xml"/><Relationship Id="rId84" Type="http://schemas.openxmlformats.org/officeDocument/2006/relationships/externalLink" Target="externalLinks/externalLink37.xml"/><Relationship Id="rId89" Type="http://schemas.openxmlformats.org/officeDocument/2006/relationships/externalLink" Target="externalLinks/externalLink42.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6.xml"/><Relationship Id="rId58" Type="http://schemas.openxmlformats.org/officeDocument/2006/relationships/externalLink" Target="externalLinks/externalLink11.xml"/><Relationship Id="rId74" Type="http://schemas.openxmlformats.org/officeDocument/2006/relationships/externalLink" Target="externalLinks/externalLink27.xml"/><Relationship Id="rId79" Type="http://schemas.openxmlformats.org/officeDocument/2006/relationships/externalLink" Target="externalLinks/externalLink32.xml"/><Relationship Id="rId5" Type="http://schemas.openxmlformats.org/officeDocument/2006/relationships/worksheet" Target="worksheets/sheet5.xml"/><Relationship Id="rId90" Type="http://schemas.openxmlformats.org/officeDocument/2006/relationships/theme" Target="theme/theme1.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externalLink" Target="externalLinks/externalLink1.xml"/><Relationship Id="rId64" Type="http://schemas.openxmlformats.org/officeDocument/2006/relationships/externalLink" Target="externalLinks/externalLink17.xml"/><Relationship Id="rId69" Type="http://schemas.openxmlformats.org/officeDocument/2006/relationships/externalLink" Target="externalLinks/externalLink22.xml"/><Relationship Id="rId8" Type="http://schemas.openxmlformats.org/officeDocument/2006/relationships/worksheet" Target="worksheets/sheet8.xml"/><Relationship Id="rId51" Type="http://schemas.openxmlformats.org/officeDocument/2006/relationships/externalLink" Target="externalLinks/externalLink4.xml"/><Relationship Id="rId72" Type="http://schemas.openxmlformats.org/officeDocument/2006/relationships/externalLink" Target="externalLinks/externalLink25.xml"/><Relationship Id="rId80" Type="http://schemas.openxmlformats.org/officeDocument/2006/relationships/externalLink" Target="externalLinks/externalLink33.xml"/><Relationship Id="rId85" Type="http://schemas.openxmlformats.org/officeDocument/2006/relationships/externalLink" Target="externalLinks/externalLink38.xml"/><Relationship Id="rId9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12.xml"/><Relationship Id="rId67"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7.xml"/><Relationship Id="rId62" Type="http://schemas.openxmlformats.org/officeDocument/2006/relationships/externalLink" Target="externalLinks/externalLink15.xml"/><Relationship Id="rId70" Type="http://schemas.openxmlformats.org/officeDocument/2006/relationships/externalLink" Target="externalLinks/externalLink23.xml"/><Relationship Id="rId75" Type="http://schemas.openxmlformats.org/officeDocument/2006/relationships/externalLink" Target="externalLinks/externalLink28.xml"/><Relationship Id="rId83" Type="http://schemas.openxmlformats.org/officeDocument/2006/relationships/externalLink" Target="externalLinks/externalLink36.xml"/><Relationship Id="rId88" Type="http://schemas.openxmlformats.org/officeDocument/2006/relationships/externalLink" Target="externalLinks/externalLink41.xml"/><Relationship Id="rId9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2.xml"/><Relationship Id="rId57" Type="http://schemas.openxmlformats.org/officeDocument/2006/relationships/externalLink" Target="externalLinks/externalLink1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5.xml"/><Relationship Id="rId60" Type="http://schemas.openxmlformats.org/officeDocument/2006/relationships/externalLink" Target="externalLinks/externalLink13.xml"/><Relationship Id="rId65" Type="http://schemas.openxmlformats.org/officeDocument/2006/relationships/externalLink" Target="externalLinks/externalLink18.xml"/><Relationship Id="rId73" Type="http://schemas.openxmlformats.org/officeDocument/2006/relationships/externalLink" Target="externalLinks/externalLink26.xml"/><Relationship Id="rId78" Type="http://schemas.openxmlformats.org/officeDocument/2006/relationships/externalLink" Target="externalLinks/externalLink31.xml"/><Relationship Id="rId81" Type="http://schemas.openxmlformats.org/officeDocument/2006/relationships/externalLink" Target="externalLinks/externalLink34.xml"/><Relationship Id="rId86" Type="http://schemas.openxmlformats.org/officeDocument/2006/relationships/externalLink" Target="externalLinks/externalLink3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3.xml"/><Relationship Id="rId55" Type="http://schemas.openxmlformats.org/officeDocument/2006/relationships/externalLink" Target="externalLinks/externalLink8.xml"/><Relationship Id="rId76" Type="http://schemas.openxmlformats.org/officeDocument/2006/relationships/externalLink" Target="externalLinks/externalLink29.xml"/><Relationship Id="rId7" Type="http://schemas.openxmlformats.org/officeDocument/2006/relationships/worksheet" Target="worksheets/sheet7.xml"/><Relationship Id="rId71" Type="http://schemas.openxmlformats.org/officeDocument/2006/relationships/externalLink" Target="externalLinks/externalLink24.xml"/><Relationship Id="rId92" Type="http://schemas.openxmlformats.org/officeDocument/2006/relationships/sharedStrings" Target="sharedStrings.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9.xml"/><Relationship Id="rId87" Type="http://schemas.openxmlformats.org/officeDocument/2006/relationships/externalLink" Target="externalLinks/externalLink40.xml"/><Relationship Id="rId61" Type="http://schemas.openxmlformats.org/officeDocument/2006/relationships/externalLink" Target="externalLinks/externalLink14.xml"/><Relationship Id="rId82" Type="http://schemas.openxmlformats.org/officeDocument/2006/relationships/externalLink" Target="externalLinks/externalLink35.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externalLink" Target="externalLinks/externalLink9.xml"/><Relationship Id="rId77" Type="http://schemas.openxmlformats.org/officeDocument/2006/relationships/externalLink" Target="externalLinks/externalLink3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220000/excel/ExcelTemplat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312000/excel/ExcelTemplat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322000/excel/ExcelTemplate.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410000/excel/ExcelTemplate.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4410000PY/excel/ExcelTemplate.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4510000/excel/ExcelTemplate.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4520000/excel/ExcelTemplate.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4610000/excel/ExcelTemplate.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4611000/excel/ExcelTemplate.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4611000PY/excel/ExcelTemplate.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4611100/excel/ExcelTemplate.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4611100a/excel/ExcelTemplate.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4611200a/excel/ExcelTemplate.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4612000/excel/ExcelTemplate.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4612000PY/excel/ExcelTemplate.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4612100/excel/ExcelTemplate.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4612100a/excel/ExcelTemplate.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4612200a/excel/ExcelTemplate.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4613100a/excel/ExcelTemplate.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4613200a/excel/ExcelTemplate.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4614100/excel/ExcelTemplate.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4614110/excel/ExcelTemplate.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4614200/excel/ExcelTemplate.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4614210/excel/ExcelTemplate.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4621100/excel/ExcelTemplate.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4622100/excel/ExcelTemplate.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4623100/excel/ExcelTemplate.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4624100/excel/ExcelTemplate.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4624110/excel/ExcelTemplate.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4625100/excel/ExcelTemplate.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4626100/excel/ExcelTemplate.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4626110/excel/ExcelTemplate.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4631100/excel/ExcelTemplate.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4631110/excel/ExcelTemplate.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4632100/excel/ExcelTemplate.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4632110/excel/ExcelTemplate.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4634000a/excel/ExcelTemplat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4634100/excel/ExcelTemplate.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4644000a/excel/ExcelTemplate.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4644100/excel/ExcelTemplate.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4695000/excel/ExcelTemplate.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4695100/excel/Excel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baseColWidth="10" defaultColWidth="9.3984375" defaultRowHeight="12" x14ac:dyDescent="0.15"/>
  <cols>
    <col min="1" max="1" width="29" style="3" bestFit="1" customWidth="1" collapsed="1"/>
    <col min="2" max="2" width="80.796875" style="2" customWidth="1" collapsed="1"/>
    <col min="3" max="16384" width="9.3984375" style="3" collapsed="1"/>
  </cols>
  <sheetData>
    <row r="1" spans="1:2" ht="18" x14ac:dyDescent="0.15">
      <c r="A1" s="1" t="s">
        <v>0</v>
      </c>
    </row>
    <row r="3" spans="1:2" ht="13" thickBot="1" x14ac:dyDescent="0.2">
      <c r="A3" s="4" t="s">
        <v>1</v>
      </c>
      <c r="B3" s="5"/>
    </row>
    <row r="4" spans="1:2" ht="14" thickBot="1" x14ac:dyDescent="0.2">
      <c r="A4" s="6" t="s">
        <v>2</v>
      </c>
      <c r="B4" s="5" t="s">
        <v>100</v>
      </c>
    </row>
    <row r="5" spans="1:2" ht="14" thickBot="1" x14ac:dyDescent="0.2">
      <c r="A5" s="7" t="s">
        <v>3</v>
      </c>
      <c r="B5" s="5" t="s">
        <v>101</v>
      </c>
    </row>
    <row r="7" spans="1:2" ht="14" thickBot="1" x14ac:dyDescent="0.2">
      <c r="A7" s="8" t="s">
        <v>4</v>
      </c>
      <c r="B7" s="5"/>
    </row>
    <row r="8" spans="1:2" ht="14" thickBot="1" x14ac:dyDescent="0.2">
      <c r="A8" s="6" t="s">
        <v>5</v>
      </c>
      <c r="B8" s="9">
        <v>40544</v>
      </c>
    </row>
    <row r="9" spans="1:2" ht="14" thickBot="1" x14ac:dyDescent="0.2">
      <c r="A9" s="6" t="s">
        <v>6</v>
      </c>
      <c r="B9" s="9">
        <v>40816</v>
      </c>
    </row>
    <row r="10" spans="1:2" ht="14" thickBot="1" x14ac:dyDescent="0.2">
      <c r="A10" s="6" t="s">
        <v>7</v>
      </c>
      <c r="B10" s="9">
        <v>40816</v>
      </c>
    </row>
    <row r="11" spans="1:2" ht="14" thickBot="1" x14ac:dyDescent="0.2">
      <c r="A11" s="6" t="s">
        <v>5</v>
      </c>
      <c r="B11" s="9">
        <v>40179</v>
      </c>
    </row>
    <row r="12" spans="1:2" ht="14" thickBot="1" x14ac:dyDescent="0.2">
      <c r="A12" s="6" t="s">
        <v>6</v>
      </c>
      <c r="B12" s="9">
        <v>40543</v>
      </c>
    </row>
    <row r="13" spans="1:2" ht="14" thickBot="1" x14ac:dyDescent="0.2">
      <c r="A13" s="6" t="s">
        <v>7</v>
      </c>
      <c r="B13" s="9">
        <v>40543</v>
      </c>
    </row>
    <row r="14" spans="1:2" ht="14" thickBot="1" x14ac:dyDescent="0.2">
      <c r="A14" s="6" t="s">
        <v>5</v>
      </c>
      <c r="B14" s="9">
        <v>40179</v>
      </c>
    </row>
    <row r="15" spans="1:2" ht="14" thickBot="1" x14ac:dyDescent="0.2">
      <c r="A15" s="6" t="s">
        <v>6</v>
      </c>
      <c r="B15" s="9">
        <v>40451</v>
      </c>
    </row>
    <row r="16" spans="1:2" ht="14" thickBot="1" x14ac:dyDescent="0.2">
      <c r="A16" s="6" t="s">
        <v>7</v>
      </c>
      <c r="B16" s="9">
        <v>40451</v>
      </c>
    </row>
    <row r="17" spans="1:2" ht="14" thickBot="1" x14ac:dyDescent="0.2">
      <c r="A17" s="6" t="s">
        <v>7</v>
      </c>
      <c r="B17" s="9">
        <v>40178</v>
      </c>
    </row>
    <row r="19" spans="1:2" ht="13" thickBot="1" x14ac:dyDescent="0.2">
      <c r="A19" s="4" t="s">
        <v>102</v>
      </c>
      <c r="B19" s="5"/>
    </row>
    <row r="20" spans="1:2" ht="14" thickBot="1" x14ac:dyDescent="0.2">
      <c r="A20" s="6" t="s">
        <v>8</v>
      </c>
      <c r="B20" s="5"/>
    </row>
    <row r="21" spans="1:2" ht="14" thickBot="1" x14ac:dyDescent="0.2">
      <c r="A21" s="7" t="s">
        <v>2</v>
      </c>
      <c r="B21" s="5" t="str">
        <f>rap.context.identifier</f>
        <v>entityCode</v>
      </c>
    </row>
    <row r="22" spans="1:2" ht="14" thickBot="1" x14ac:dyDescent="0.2">
      <c r="A22" s="10" t="s">
        <v>9</v>
      </c>
      <c r="B22" s="5" t="str">
        <f>rap.context.scheme</f>
        <v>http://www.idx.co.id/xbrl</v>
      </c>
    </row>
    <row r="23" spans="1:2" ht="14" thickBot="1" x14ac:dyDescent="0.2">
      <c r="A23" s="6" t="s">
        <v>4</v>
      </c>
      <c r="B23" s="5"/>
    </row>
    <row r="24" spans="1:2" ht="14" thickBot="1" x14ac:dyDescent="0.2">
      <c r="A24" s="7" t="s">
        <v>5</v>
      </c>
      <c r="B24" s="9">
        <f>rap.date.1</f>
        <v>40544</v>
      </c>
    </row>
    <row r="25" spans="1:2" ht="14" thickBot="1" x14ac:dyDescent="0.2">
      <c r="A25" s="7" t="s">
        <v>6</v>
      </c>
      <c r="B25" s="9">
        <f>rap.date.2</f>
        <v>40816</v>
      </c>
    </row>
    <row r="27" spans="1:2" ht="13" thickBot="1" x14ac:dyDescent="0.2">
      <c r="A27" s="4" t="s">
        <v>17</v>
      </c>
      <c r="B27" s="5"/>
    </row>
    <row r="28" spans="1:2" ht="14" thickBot="1" x14ac:dyDescent="0.2">
      <c r="A28" s="6" t="s">
        <v>8</v>
      </c>
      <c r="B28" s="5"/>
    </row>
    <row r="29" spans="1:2" ht="14" thickBot="1" x14ac:dyDescent="0.2">
      <c r="A29" s="7" t="s">
        <v>2</v>
      </c>
      <c r="B29" s="5" t="str">
        <f>rap.context.identifier</f>
        <v>entityCode</v>
      </c>
    </row>
    <row r="30" spans="1:2" ht="14" thickBot="1" x14ac:dyDescent="0.2">
      <c r="A30" s="10" t="s">
        <v>9</v>
      </c>
      <c r="B30" s="5" t="str">
        <f>rap.context.scheme</f>
        <v>http://www.idx.co.id/xbrl</v>
      </c>
    </row>
    <row r="31" spans="1:2" ht="14" thickBot="1" x14ac:dyDescent="0.2">
      <c r="A31" s="6" t="s">
        <v>4</v>
      </c>
      <c r="B31" s="5"/>
    </row>
    <row r="32" spans="1:2" ht="14" thickBot="1" x14ac:dyDescent="0.2">
      <c r="A32" s="7" t="s">
        <v>7</v>
      </c>
      <c r="B32" s="9">
        <f>rap.date.3</f>
        <v>40816</v>
      </c>
    </row>
    <row r="34" spans="1:2" ht="13" thickBot="1" x14ac:dyDescent="0.2">
      <c r="A34" s="4" t="s">
        <v>103</v>
      </c>
      <c r="B34" s="5"/>
    </row>
    <row r="35" spans="1:2" ht="14" thickBot="1" x14ac:dyDescent="0.2">
      <c r="A35" s="6" t="s">
        <v>8</v>
      </c>
      <c r="B35" s="5"/>
    </row>
    <row r="36" spans="1:2" ht="14" thickBot="1" x14ac:dyDescent="0.2">
      <c r="A36" s="7" t="s">
        <v>2</v>
      </c>
      <c r="B36" s="5" t="str">
        <f>rap.context.identifier</f>
        <v>entityCode</v>
      </c>
    </row>
    <row r="37" spans="1:2" ht="14" thickBot="1" x14ac:dyDescent="0.2">
      <c r="A37" s="10" t="s">
        <v>9</v>
      </c>
      <c r="B37" s="5" t="str">
        <f>rap.context.scheme</f>
        <v>http://www.idx.co.id/xbrl</v>
      </c>
    </row>
    <row r="38" spans="1:2" ht="14" thickBot="1" x14ac:dyDescent="0.2">
      <c r="A38" s="6" t="s">
        <v>4</v>
      </c>
      <c r="B38" s="5"/>
    </row>
    <row r="39" spans="1:2" ht="14" thickBot="1" x14ac:dyDescent="0.2">
      <c r="A39" s="7" t="s">
        <v>5</v>
      </c>
      <c r="B39" s="9">
        <f>rap.date.4</f>
        <v>40179</v>
      </c>
    </row>
    <row r="40" spans="1:2" ht="14" thickBot="1" x14ac:dyDescent="0.2">
      <c r="A40" s="7" t="s">
        <v>6</v>
      </c>
      <c r="B40" s="9">
        <f>rap.date.5</f>
        <v>40543</v>
      </c>
    </row>
    <row r="42" spans="1:2" ht="13" thickBot="1" x14ac:dyDescent="0.2">
      <c r="A42" s="4" t="s">
        <v>104</v>
      </c>
      <c r="B42" s="5"/>
    </row>
    <row r="43" spans="1:2" ht="14" thickBot="1" x14ac:dyDescent="0.2">
      <c r="A43" s="6" t="s">
        <v>8</v>
      </c>
      <c r="B43" s="5"/>
    </row>
    <row r="44" spans="1:2" ht="14" thickBot="1" x14ac:dyDescent="0.2">
      <c r="A44" s="7" t="s">
        <v>2</v>
      </c>
      <c r="B44" s="5" t="str">
        <f>rap.context.identifier</f>
        <v>entityCode</v>
      </c>
    </row>
    <row r="45" spans="1:2" ht="14" thickBot="1" x14ac:dyDescent="0.2">
      <c r="A45" s="10" t="s">
        <v>9</v>
      </c>
      <c r="B45" s="5" t="str">
        <f>rap.context.scheme</f>
        <v>http://www.idx.co.id/xbrl</v>
      </c>
    </row>
    <row r="46" spans="1:2" ht="14" thickBot="1" x14ac:dyDescent="0.2">
      <c r="A46" s="6" t="s">
        <v>4</v>
      </c>
      <c r="B46" s="5"/>
    </row>
    <row r="47" spans="1:2" ht="14" thickBot="1" x14ac:dyDescent="0.2">
      <c r="A47" s="7" t="s">
        <v>7</v>
      </c>
      <c r="B47" s="9">
        <f>rap.date.6</f>
        <v>40543</v>
      </c>
    </row>
    <row r="49" spans="1:2" ht="13" thickBot="1" x14ac:dyDescent="0.2">
      <c r="A49" s="4" t="s">
        <v>105</v>
      </c>
      <c r="B49" s="5"/>
    </row>
    <row r="50" spans="1:2" ht="14" thickBot="1" x14ac:dyDescent="0.2">
      <c r="A50" s="6" t="s">
        <v>8</v>
      </c>
      <c r="B50" s="5"/>
    </row>
    <row r="51" spans="1:2" ht="14" thickBot="1" x14ac:dyDescent="0.2">
      <c r="A51" s="7" t="s">
        <v>2</v>
      </c>
      <c r="B51" s="5" t="str">
        <f>rap.context.identifier</f>
        <v>entityCode</v>
      </c>
    </row>
    <row r="52" spans="1:2" ht="14" thickBot="1" x14ac:dyDescent="0.2">
      <c r="A52" s="10" t="s">
        <v>9</v>
      </c>
      <c r="B52" s="5" t="str">
        <f>rap.context.scheme</f>
        <v>http://www.idx.co.id/xbrl</v>
      </c>
    </row>
    <row r="53" spans="1:2" ht="14" thickBot="1" x14ac:dyDescent="0.2">
      <c r="A53" s="6" t="s">
        <v>4</v>
      </c>
      <c r="B53" s="5"/>
    </row>
    <row r="54" spans="1:2" ht="14" thickBot="1" x14ac:dyDescent="0.2">
      <c r="A54" s="7" t="s">
        <v>5</v>
      </c>
      <c r="B54" s="9">
        <f>rap.date.7</f>
        <v>40179</v>
      </c>
    </row>
    <row r="55" spans="1:2" ht="14" thickBot="1" x14ac:dyDescent="0.2">
      <c r="A55" s="7" t="s">
        <v>6</v>
      </c>
      <c r="B55" s="9">
        <f>rap.date.8</f>
        <v>40451</v>
      </c>
    </row>
    <row r="57" spans="1:2" ht="13" thickBot="1" x14ac:dyDescent="0.2">
      <c r="A57" s="4" t="s">
        <v>106</v>
      </c>
      <c r="B57" s="5"/>
    </row>
    <row r="58" spans="1:2" ht="14" thickBot="1" x14ac:dyDescent="0.2">
      <c r="A58" s="6" t="s">
        <v>8</v>
      </c>
      <c r="B58" s="5"/>
    </row>
    <row r="59" spans="1:2" ht="14" thickBot="1" x14ac:dyDescent="0.2">
      <c r="A59" s="7" t="s">
        <v>2</v>
      </c>
      <c r="B59" s="5" t="str">
        <f>rap.context.identifier</f>
        <v>entityCode</v>
      </c>
    </row>
    <row r="60" spans="1:2" ht="14" thickBot="1" x14ac:dyDescent="0.2">
      <c r="A60" s="10" t="s">
        <v>9</v>
      </c>
      <c r="B60" s="5" t="str">
        <f>rap.context.scheme</f>
        <v>http://www.idx.co.id/xbrl</v>
      </c>
    </row>
    <row r="61" spans="1:2" ht="14" thickBot="1" x14ac:dyDescent="0.2">
      <c r="A61" s="6" t="s">
        <v>4</v>
      </c>
      <c r="B61" s="5"/>
    </row>
    <row r="62" spans="1:2" ht="14" thickBot="1" x14ac:dyDescent="0.2">
      <c r="A62" s="7" t="s">
        <v>7</v>
      </c>
      <c r="B62" s="9">
        <f>rap.date.9</f>
        <v>40451</v>
      </c>
    </row>
    <row r="64" spans="1:2" ht="13" thickBot="1" x14ac:dyDescent="0.2">
      <c r="A64" s="4" t="s">
        <v>107</v>
      </c>
      <c r="B64" s="5"/>
    </row>
    <row r="65" spans="1:2" ht="14" thickBot="1" x14ac:dyDescent="0.2">
      <c r="A65" s="6" t="s">
        <v>8</v>
      </c>
      <c r="B65" s="5"/>
    </row>
    <row r="66" spans="1:2" ht="14" thickBot="1" x14ac:dyDescent="0.2">
      <c r="A66" s="7" t="s">
        <v>2</v>
      </c>
      <c r="B66" s="5" t="str">
        <f>rap.context.identifier</f>
        <v>entityCode</v>
      </c>
    </row>
    <row r="67" spans="1:2" ht="14" thickBot="1" x14ac:dyDescent="0.2">
      <c r="A67" s="10" t="s">
        <v>9</v>
      </c>
      <c r="B67" s="5" t="str">
        <f>rap.context.scheme</f>
        <v>http://www.idx.co.id/xbrl</v>
      </c>
    </row>
    <row r="68" spans="1:2" ht="14" thickBot="1" x14ac:dyDescent="0.2">
      <c r="A68" s="6" t="s">
        <v>4</v>
      </c>
      <c r="B68" s="5"/>
    </row>
    <row r="69" spans="1:2" ht="14" thickBot="1" x14ac:dyDescent="0.2">
      <c r="A69" s="7" t="s">
        <v>7</v>
      </c>
      <c r="B69" s="9">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baseColWidth="10" defaultColWidth="9.3984375" defaultRowHeight="12" x14ac:dyDescent="0.15"/>
  <cols>
    <col min="1" max="1" width="100.796875" style="12" customWidth="1" collapsed="1"/>
    <col min="2" max="2" width="50.796875" style="12" customWidth="1" collapsed="1"/>
    <col min="3" max="16384" width="9.3984375" style="13" collapsed="1"/>
  </cols>
  <sheetData>
    <row r="1" spans="1:2" s="3" customFormat="1" x14ac:dyDescent="0.15">
      <c r="A1" s="11" t="s">
        <v>10</v>
      </c>
      <c r="B1" s="11" t="s">
        <v>11</v>
      </c>
    </row>
    <row r="2" spans="1:2" x14ac:dyDescent="0.15">
      <c r="A2" s="12" t="s">
        <v>12</v>
      </c>
      <c r="B2" s="12"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baseColWidth="10" defaultColWidth="9.3984375" defaultRowHeight="15" x14ac:dyDescent="0.2"/>
  <cols>
    <col min="1" max="1" width="42.59765625" style="15" bestFit="1" customWidth="1" collapsed="1"/>
    <col min="2" max="2" width="33.3984375" style="15" customWidth="1" collapsed="1"/>
    <col min="3" max="3" width="42.59765625" style="15" bestFit="1" customWidth="1" collapsed="1"/>
    <col min="4" max="16384" width="9.3984375" style="15" collapsed="1"/>
  </cols>
  <sheetData>
    <row r="1" spans="1:3" ht="18" x14ac:dyDescent="0.2">
      <c r="A1" s="14" t="s">
        <v>14</v>
      </c>
    </row>
    <row r="3" spans="1:3" ht="17.25" customHeight="1" x14ac:dyDescent="0.2">
      <c r="A3" s="16" t="s">
        <v>15</v>
      </c>
      <c r="B3" s="548" t="s">
        <v>16</v>
      </c>
      <c r="C3" s="548"/>
    </row>
    <row r="4" spans="1:3" x14ac:dyDescent="0.2">
      <c r="A4" s="17"/>
      <c r="B4" s="18" t="s">
        <v>17</v>
      </c>
    </row>
    <row r="5" spans="1:3" ht="16" thickBot="1" x14ac:dyDescent="0.25">
      <c r="A5" s="19" t="s">
        <v>15</v>
      </c>
      <c r="B5" s="20"/>
      <c r="C5" s="21" t="s">
        <v>16</v>
      </c>
    </row>
    <row r="6" spans="1:3" ht="16" thickBot="1" x14ac:dyDescent="0.25">
      <c r="A6" s="22" t="s">
        <v>18</v>
      </c>
      <c r="B6" s="23" t="s">
        <v>2146</v>
      </c>
      <c r="C6" s="21" t="s">
        <v>19</v>
      </c>
    </row>
    <row r="7" spans="1:3" ht="29" thickBot="1" x14ac:dyDescent="0.25">
      <c r="A7" s="22" t="s">
        <v>20</v>
      </c>
      <c r="B7" s="23"/>
      <c r="C7" s="21" t="s">
        <v>21</v>
      </c>
    </row>
    <row r="8" spans="1:3" ht="16" thickBot="1" x14ac:dyDescent="0.25">
      <c r="A8" s="22" t="s">
        <v>22</v>
      </c>
      <c r="B8" s="23" t="s">
        <v>2144</v>
      </c>
      <c r="C8" s="21" t="s">
        <v>23</v>
      </c>
    </row>
    <row r="9" spans="1:3" ht="16" thickBot="1" x14ac:dyDescent="0.25">
      <c r="A9" s="22" t="s">
        <v>24</v>
      </c>
      <c r="B9" s="23" t="s">
        <v>2136</v>
      </c>
      <c r="C9" s="21" t="s">
        <v>25</v>
      </c>
    </row>
    <row r="10" spans="1:3" ht="27" thickBot="1" x14ac:dyDescent="0.25">
      <c r="A10" s="22" t="s">
        <v>26</v>
      </c>
      <c r="B10" s="23" t="s">
        <v>397</v>
      </c>
      <c r="C10" s="21" t="s">
        <v>27</v>
      </c>
    </row>
    <row r="11" spans="1:3" ht="16" thickBot="1" x14ac:dyDescent="0.25">
      <c r="A11" s="22" t="s">
        <v>28</v>
      </c>
      <c r="B11" s="23" t="s">
        <v>135</v>
      </c>
      <c r="C11" s="21" t="s">
        <v>29</v>
      </c>
    </row>
    <row r="12" spans="1:3" ht="16" thickBot="1" x14ac:dyDescent="0.25">
      <c r="A12" s="22" t="s">
        <v>30</v>
      </c>
      <c r="B12" s="23" t="s">
        <v>381</v>
      </c>
      <c r="C12" s="21" t="s">
        <v>31</v>
      </c>
    </row>
    <row r="13" spans="1:3" ht="16" thickBot="1" x14ac:dyDescent="0.25">
      <c r="A13" s="22" t="s">
        <v>32</v>
      </c>
      <c r="B13" s="23" t="s">
        <v>359</v>
      </c>
      <c r="C13" s="21" t="s">
        <v>33</v>
      </c>
    </row>
    <row r="14" spans="1:3" ht="16" thickBot="1" x14ac:dyDescent="0.25">
      <c r="A14" s="22" t="s">
        <v>34</v>
      </c>
      <c r="B14" s="23" t="s">
        <v>314</v>
      </c>
      <c r="C14" s="21" t="s">
        <v>35</v>
      </c>
    </row>
    <row r="15" spans="1:3" ht="16" thickBot="1" x14ac:dyDescent="0.25">
      <c r="A15" s="22" t="s">
        <v>36</v>
      </c>
      <c r="B15" s="23" t="s">
        <v>229</v>
      </c>
      <c r="C15" s="21" t="s">
        <v>37</v>
      </c>
    </row>
    <row r="16" spans="1:3" ht="16" thickBot="1" x14ac:dyDescent="0.25">
      <c r="A16" s="22" t="s">
        <v>38</v>
      </c>
      <c r="B16" s="23" t="s">
        <v>409</v>
      </c>
      <c r="C16" s="21" t="s">
        <v>39</v>
      </c>
    </row>
    <row r="17" spans="1:3" ht="27" thickBot="1" x14ac:dyDescent="0.25">
      <c r="A17" s="22" t="s">
        <v>40</v>
      </c>
      <c r="B17" s="23" t="s">
        <v>121</v>
      </c>
      <c r="C17" s="21" t="s">
        <v>41</v>
      </c>
    </row>
    <row r="18" spans="1:3" ht="27" thickBot="1" x14ac:dyDescent="0.25">
      <c r="A18" s="22" t="s">
        <v>42</v>
      </c>
      <c r="B18" s="23" t="s">
        <v>117</v>
      </c>
      <c r="C18" s="21" t="s">
        <v>43</v>
      </c>
    </row>
    <row r="19" spans="1:3" ht="29" thickBot="1" x14ac:dyDescent="0.25">
      <c r="A19" s="22" t="s">
        <v>44</v>
      </c>
      <c r="B19" s="23" t="s">
        <v>125</v>
      </c>
      <c r="C19" s="21" t="s">
        <v>45</v>
      </c>
    </row>
    <row r="20" spans="1:3" ht="29" thickBot="1" x14ac:dyDescent="0.25">
      <c r="A20" s="22" t="s">
        <v>46</v>
      </c>
      <c r="B20" s="23" t="s">
        <v>109</v>
      </c>
      <c r="C20" s="21" t="s">
        <v>47</v>
      </c>
    </row>
    <row r="21" spans="1:3" ht="16" thickBot="1" x14ac:dyDescent="0.25">
      <c r="A21" s="22" t="s">
        <v>48</v>
      </c>
      <c r="B21" s="23" t="s">
        <v>390</v>
      </c>
      <c r="C21" s="21" t="s">
        <v>49</v>
      </c>
    </row>
    <row r="22" spans="1:3" ht="29" thickBot="1" x14ac:dyDescent="0.25">
      <c r="A22" s="22" t="s">
        <v>50</v>
      </c>
      <c r="B22" s="23" t="s">
        <v>2140</v>
      </c>
      <c r="C22" s="21" t="s">
        <v>51</v>
      </c>
    </row>
    <row r="23" spans="1:3" ht="16" thickBot="1" x14ac:dyDescent="0.25">
      <c r="A23" s="22" t="s">
        <v>52</v>
      </c>
      <c r="B23" s="23" t="s">
        <v>2145</v>
      </c>
      <c r="C23" s="21" t="s">
        <v>53</v>
      </c>
    </row>
    <row r="24" spans="1:3" ht="16" thickBot="1" x14ac:dyDescent="0.25">
      <c r="A24" s="22" t="s">
        <v>54</v>
      </c>
      <c r="B24" s="23" t="s">
        <v>2139</v>
      </c>
      <c r="C24" s="21" t="s">
        <v>55</v>
      </c>
    </row>
    <row r="25" spans="1:3" ht="16" thickBot="1" x14ac:dyDescent="0.25">
      <c r="A25" s="22" t="s">
        <v>56</v>
      </c>
      <c r="B25" s="23" t="s">
        <v>2143</v>
      </c>
      <c r="C25" s="21" t="s">
        <v>57</v>
      </c>
    </row>
    <row r="26" spans="1:3" ht="16" thickBot="1" x14ac:dyDescent="0.25">
      <c r="A26" s="22" t="s">
        <v>58</v>
      </c>
      <c r="B26" s="23" t="s">
        <v>2137</v>
      </c>
      <c r="C26" s="21" t="s">
        <v>59</v>
      </c>
    </row>
    <row r="27" spans="1:3" ht="16" thickBot="1" x14ac:dyDescent="0.25">
      <c r="A27" s="22" t="s">
        <v>60</v>
      </c>
      <c r="B27" s="23" t="s">
        <v>2143</v>
      </c>
      <c r="C27" s="21" t="s">
        <v>61</v>
      </c>
    </row>
    <row r="28" spans="1:3" ht="16" thickBot="1" x14ac:dyDescent="0.25">
      <c r="A28" s="22" t="s">
        <v>62</v>
      </c>
      <c r="B28" s="23" t="s">
        <v>2138</v>
      </c>
      <c r="C28" s="21" t="s">
        <v>63</v>
      </c>
    </row>
    <row r="29" spans="1:3" ht="16" thickBot="1" x14ac:dyDescent="0.25">
      <c r="A29" s="22" t="s">
        <v>64</v>
      </c>
      <c r="B29" s="23" t="s">
        <v>403</v>
      </c>
      <c r="C29" s="21" t="s">
        <v>65</v>
      </c>
    </row>
    <row r="30" spans="1:3" ht="29" thickBot="1" x14ac:dyDescent="0.25">
      <c r="A30" s="22" t="s">
        <v>66</v>
      </c>
      <c r="B30" s="24">
        <v>1.6674999999999999E-2</v>
      </c>
      <c r="C30" s="21" t="s">
        <v>67</v>
      </c>
    </row>
    <row r="31" spans="1:3" ht="43" thickBot="1" x14ac:dyDescent="0.25">
      <c r="A31" s="22" t="s">
        <v>68</v>
      </c>
      <c r="B31" s="23" t="s">
        <v>393</v>
      </c>
      <c r="C31" s="21" t="s">
        <v>69</v>
      </c>
    </row>
    <row r="32" spans="1:3" ht="16" thickBot="1" x14ac:dyDescent="0.25">
      <c r="A32" s="22" t="s">
        <v>70</v>
      </c>
      <c r="B32" s="23" t="s">
        <v>114</v>
      </c>
      <c r="C32" s="21" t="s">
        <v>71</v>
      </c>
    </row>
    <row r="33" spans="1:3" ht="27" thickBot="1" x14ac:dyDescent="0.25">
      <c r="A33" s="22" t="s">
        <v>72</v>
      </c>
      <c r="B33" s="23" t="s">
        <v>131</v>
      </c>
      <c r="C33" s="21" t="s">
        <v>73</v>
      </c>
    </row>
    <row r="34" spans="1:3" ht="57" thickBot="1" x14ac:dyDescent="0.25">
      <c r="A34" s="22" t="s">
        <v>74</v>
      </c>
      <c r="B34" s="23"/>
      <c r="C34" s="21" t="s">
        <v>75</v>
      </c>
    </row>
    <row r="35" spans="1:3" ht="16" thickBot="1" x14ac:dyDescent="0.25">
      <c r="A35" s="22" t="s">
        <v>76</v>
      </c>
      <c r="B35" s="23"/>
      <c r="C35" s="21" t="s">
        <v>77</v>
      </c>
    </row>
    <row r="36" spans="1:3" ht="16" thickBot="1" x14ac:dyDescent="0.25">
      <c r="A36" s="22" t="s">
        <v>78</v>
      </c>
      <c r="B36" s="23" t="s">
        <v>110</v>
      </c>
      <c r="C36" s="21" t="s">
        <v>79</v>
      </c>
    </row>
    <row r="37" spans="1:3" ht="16" thickBot="1" x14ac:dyDescent="0.25">
      <c r="A37" s="22" t="s">
        <v>80</v>
      </c>
      <c r="B37" s="23">
        <v>4</v>
      </c>
      <c r="C37" s="21" t="s">
        <v>81</v>
      </c>
    </row>
    <row r="38" spans="1:3" ht="53" thickBot="1" x14ac:dyDescent="0.25">
      <c r="A38" s="22" t="s">
        <v>82</v>
      </c>
      <c r="B38" s="23" t="s">
        <v>2154</v>
      </c>
      <c r="C38" s="21" t="s">
        <v>83</v>
      </c>
    </row>
    <row r="39" spans="1:3" ht="29" thickBot="1" x14ac:dyDescent="0.25">
      <c r="A39" s="22" t="s">
        <v>84</v>
      </c>
      <c r="B39" s="23" t="s">
        <v>2140</v>
      </c>
      <c r="C39" s="21" t="s">
        <v>85</v>
      </c>
    </row>
    <row r="40" spans="1:3" ht="16" thickBot="1" x14ac:dyDescent="0.25">
      <c r="A40" s="22" t="s">
        <v>86</v>
      </c>
      <c r="B40" s="23" t="s">
        <v>2160</v>
      </c>
      <c r="C40" s="21" t="s">
        <v>87</v>
      </c>
    </row>
    <row r="41" spans="1:3" ht="16" thickBot="1" x14ac:dyDescent="0.25">
      <c r="A41" s="22" t="s">
        <v>88</v>
      </c>
      <c r="B41" s="23" t="s">
        <v>2141</v>
      </c>
      <c r="C41" s="21" t="s">
        <v>89</v>
      </c>
    </row>
    <row r="42" spans="1:3" ht="29" thickBot="1" x14ac:dyDescent="0.25">
      <c r="A42" s="22" t="s">
        <v>90</v>
      </c>
      <c r="B42" s="23">
        <v>1</v>
      </c>
      <c r="C42" s="21" t="s">
        <v>91</v>
      </c>
    </row>
    <row r="43" spans="1:3" ht="16" thickBot="1" x14ac:dyDescent="0.25">
      <c r="A43" s="22" t="s">
        <v>92</v>
      </c>
      <c r="B43" s="23" t="s">
        <v>2160</v>
      </c>
      <c r="C43" s="21" t="s">
        <v>93</v>
      </c>
    </row>
    <row r="44" spans="1:3" ht="16" thickBot="1" x14ac:dyDescent="0.25">
      <c r="A44" s="22" t="s">
        <v>94</v>
      </c>
      <c r="B44" s="23" t="s">
        <v>2142</v>
      </c>
      <c r="C44" s="21" t="s">
        <v>95</v>
      </c>
    </row>
    <row r="45" spans="1:3" ht="57" thickBot="1" x14ac:dyDescent="0.25">
      <c r="A45" s="22" t="s">
        <v>96</v>
      </c>
      <c r="B45" s="23" t="s">
        <v>110</v>
      </c>
      <c r="C45" s="21" t="s">
        <v>97</v>
      </c>
    </row>
    <row r="46" spans="1:3" ht="85" thickBot="1" x14ac:dyDescent="0.25">
      <c r="A46" s="22" t="s">
        <v>98</v>
      </c>
      <c r="B46" s="23" t="s">
        <v>110</v>
      </c>
      <c r="C46" s="21"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baseColWidth="10" defaultColWidth="9.3984375" defaultRowHeight="15" x14ac:dyDescent="0.2"/>
  <cols>
    <col min="1" max="1" width="42.59765625" style="25" bestFit="1" customWidth="1" collapsed="1"/>
    <col min="2" max="3" width="33.3984375" style="25" customWidth="1" collapsed="1"/>
    <col min="4" max="4" width="42.59765625" style="25" bestFit="1" customWidth="1" collapsed="1"/>
    <col min="5" max="16384" width="9.3984375" style="25" collapsed="1"/>
  </cols>
  <sheetData>
    <row r="1" spans="1:4" ht="34.5" customHeight="1" x14ac:dyDescent="0.2">
      <c r="A1" s="549" t="s">
        <v>414</v>
      </c>
      <c r="B1" s="550"/>
      <c r="C1" s="550"/>
      <c r="D1" s="550"/>
    </row>
    <row r="3" spans="1:4" ht="17.25" customHeight="1" x14ac:dyDescent="0.2">
      <c r="A3" s="549" t="s">
        <v>415</v>
      </c>
      <c r="B3" s="549"/>
      <c r="C3" s="551" t="s">
        <v>416</v>
      </c>
      <c r="D3" s="551"/>
    </row>
    <row r="4" spans="1:4" x14ac:dyDescent="0.2">
      <c r="A4" s="26"/>
      <c r="B4" s="27" t="s">
        <v>17</v>
      </c>
      <c r="C4" s="27" t="s">
        <v>104</v>
      </c>
    </row>
    <row r="5" spans="1:4" ht="16" thickBot="1" x14ac:dyDescent="0.25">
      <c r="A5" s="28" t="s">
        <v>415</v>
      </c>
      <c r="B5" s="29"/>
      <c r="C5" s="29"/>
      <c r="D5" s="30" t="s">
        <v>416</v>
      </c>
    </row>
    <row r="6" spans="1:4" ht="16" thickBot="1" x14ac:dyDescent="0.25">
      <c r="A6" s="31" t="s">
        <v>417</v>
      </c>
      <c r="B6" s="29"/>
      <c r="C6" s="29"/>
      <c r="D6" s="30" t="s">
        <v>418</v>
      </c>
    </row>
    <row r="7" spans="1:4" ht="16" thickBot="1" x14ac:dyDescent="0.25">
      <c r="A7" s="32" t="s">
        <v>419</v>
      </c>
      <c r="B7" s="33">
        <v>25305031</v>
      </c>
      <c r="C7" s="33">
        <v>29315878</v>
      </c>
      <c r="D7" s="34" t="s">
        <v>420</v>
      </c>
    </row>
    <row r="8" spans="1:4" ht="16" thickBot="1" x14ac:dyDescent="0.25">
      <c r="A8" s="32" t="s">
        <v>421</v>
      </c>
      <c r="B8" s="33">
        <v>0</v>
      </c>
      <c r="C8" s="33">
        <v>0</v>
      </c>
      <c r="D8" s="34" t="s">
        <v>422</v>
      </c>
    </row>
    <row r="9" spans="1:4" ht="16" thickBot="1" x14ac:dyDescent="0.25">
      <c r="A9" s="32" t="s">
        <v>423</v>
      </c>
      <c r="B9" s="33">
        <v>47768278</v>
      </c>
      <c r="C9" s="33">
        <v>36408142</v>
      </c>
      <c r="D9" s="34" t="s">
        <v>424</v>
      </c>
    </row>
    <row r="10" spans="1:4" ht="16" thickBot="1" x14ac:dyDescent="0.25">
      <c r="A10" s="35" t="s">
        <v>425</v>
      </c>
      <c r="B10" s="29"/>
      <c r="C10" s="29"/>
      <c r="D10" s="30" t="s">
        <v>426</v>
      </c>
    </row>
    <row r="11" spans="1:4" ht="29" thickBot="1" x14ac:dyDescent="0.25">
      <c r="A11" s="36" t="s">
        <v>427</v>
      </c>
      <c r="B11" s="33">
        <v>5332406</v>
      </c>
      <c r="C11" s="33">
        <v>4097837</v>
      </c>
      <c r="D11" s="34" t="s">
        <v>428</v>
      </c>
    </row>
    <row r="12" spans="1:4" ht="29" thickBot="1" x14ac:dyDescent="0.25">
      <c r="A12" s="36" t="s">
        <v>429</v>
      </c>
      <c r="B12" s="33">
        <v>0</v>
      </c>
      <c r="C12" s="33">
        <v>0</v>
      </c>
      <c r="D12" s="34" t="s">
        <v>430</v>
      </c>
    </row>
    <row r="13" spans="1:4" ht="29" thickBot="1" x14ac:dyDescent="0.25">
      <c r="A13" s="36" t="s">
        <v>431</v>
      </c>
      <c r="B13" s="37">
        <v>768</v>
      </c>
      <c r="C13" s="37">
        <v>638</v>
      </c>
      <c r="D13" s="34" t="s">
        <v>432</v>
      </c>
    </row>
    <row r="14" spans="1:4" ht="29" thickBot="1" x14ac:dyDescent="0.25">
      <c r="A14" s="35" t="s">
        <v>433</v>
      </c>
      <c r="B14" s="29"/>
      <c r="C14" s="29"/>
      <c r="D14" s="30" t="s">
        <v>434</v>
      </c>
    </row>
    <row r="15" spans="1:4" ht="29" thickBot="1" x14ac:dyDescent="0.25">
      <c r="A15" s="36" t="s">
        <v>435</v>
      </c>
      <c r="B15" s="33">
        <v>9816051</v>
      </c>
      <c r="C15" s="33">
        <v>15716596</v>
      </c>
      <c r="D15" s="34" t="s">
        <v>436</v>
      </c>
    </row>
    <row r="16" spans="1:4" ht="29" thickBot="1" x14ac:dyDescent="0.25">
      <c r="A16" s="36" t="s">
        <v>437</v>
      </c>
      <c r="B16" s="33">
        <v>0</v>
      </c>
      <c r="C16" s="33">
        <v>0</v>
      </c>
      <c r="D16" s="34" t="s">
        <v>438</v>
      </c>
    </row>
    <row r="17" spans="1:4" ht="29" thickBot="1" x14ac:dyDescent="0.25">
      <c r="A17" s="36" t="s">
        <v>439</v>
      </c>
      <c r="B17" s="37">
        <v>2510</v>
      </c>
      <c r="C17" s="37">
        <v>1712</v>
      </c>
      <c r="D17" s="34" t="s">
        <v>440</v>
      </c>
    </row>
    <row r="18" spans="1:4" ht="16" thickBot="1" x14ac:dyDescent="0.25">
      <c r="A18" s="35" t="s">
        <v>441</v>
      </c>
      <c r="B18" s="29"/>
      <c r="C18" s="29"/>
      <c r="D18" s="30" t="s">
        <v>442</v>
      </c>
    </row>
    <row r="19" spans="1:4" ht="16" thickBot="1" x14ac:dyDescent="0.25">
      <c r="A19" s="36" t="s">
        <v>443</v>
      </c>
      <c r="B19" s="33"/>
      <c r="C19" s="33"/>
      <c r="D19" s="34" t="s">
        <v>444</v>
      </c>
    </row>
    <row r="20" spans="1:4" ht="16" thickBot="1" x14ac:dyDescent="0.25">
      <c r="A20" s="36" t="s">
        <v>445</v>
      </c>
      <c r="B20" s="33"/>
      <c r="C20" s="33"/>
      <c r="D20" s="34" t="s">
        <v>446</v>
      </c>
    </row>
    <row r="21" spans="1:4" ht="29" thickBot="1" x14ac:dyDescent="0.25">
      <c r="A21" s="36" t="s">
        <v>447</v>
      </c>
      <c r="B21" s="37"/>
      <c r="C21" s="37"/>
      <c r="D21" s="34" t="s">
        <v>448</v>
      </c>
    </row>
    <row r="22" spans="1:4" ht="16" thickBot="1" x14ac:dyDescent="0.25">
      <c r="A22" s="32" t="s">
        <v>449</v>
      </c>
      <c r="B22" s="33"/>
      <c r="C22" s="33"/>
      <c r="D22" s="34" t="s">
        <v>450</v>
      </c>
    </row>
    <row r="23" spans="1:4" ht="29" thickBot="1" x14ac:dyDescent="0.25">
      <c r="A23" s="32" t="s">
        <v>451</v>
      </c>
      <c r="B23" s="33"/>
      <c r="C23" s="33"/>
      <c r="D23" s="34" t="s">
        <v>452</v>
      </c>
    </row>
    <row r="24" spans="1:4" ht="16" thickBot="1" x14ac:dyDescent="0.25">
      <c r="A24" s="35" t="s">
        <v>453</v>
      </c>
      <c r="B24" s="29"/>
      <c r="C24" s="29"/>
      <c r="D24" s="30" t="s">
        <v>454</v>
      </c>
    </row>
    <row r="25" spans="1:4" ht="29" thickBot="1" x14ac:dyDescent="0.25">
      <c r="A25" s="36" t="s">
        <v>455</v>
      </c>
      <c r="B25" s="33">
        <v>35202891</v>
      </c>
      <c r="C25" s="33">
        <v>21303409</v>
      </c>
      <c r="D25" s="34" t="s">
        <v>456</v>
      </c>
    </row>
    <row r="26" spans="1:4" ht="29" thickBot="1" x14ac:dyDescent="0.25">
      <c r="A26" s="36" t="s">
        <v>457</v>
      </c>
      <c r="B26" s="33">
        <v>0</v>
      </c>
      <c r="C26" s="33">
        <v>0</v>
      </c>
      <c r="D26" s="34" t="s">
        <v>458</v>
      </c>
    </row>
    <row r="27" spans="1:4" ht="29" thickBot="1" x14ac:dyDescent="0.25">
      <c r="A27" s="36" t="s">
        <v>459</v>
      </c>
      <c r="B27" s="37">
        <v>0</v>
      </c>
      <c r="C27" s="37">
        <v>0</v>
      </c>
      <c r="D27" s="34" t="s">
        <v>460</v>
      </c>
    </row>
    <row r="28" spans="1:4" ht="29" thickBot="1" x14ac:dyDescent="0.25">
      <c r="A28" s="32" t="s">
        <v>461</v>
      </c>
      <c r="B28" s="33">
        <v>0</v>
      </c>
      <c r="C28" s="33">
        <v>0</v>
      </c>
      <c r="D28" s="34" t="s">
        <v>462</v>
      </c>
    </row>
    <row r="29" spans="1:4" ht="29" thickBot="1" x14ac:dyDescent="0.25">
      <c r="A29" s="32" t="s">
        <v>463</v>
      </c>
      <c r="B29" s="33">
        <v>5285513</v>
      </c>
      <c r="C29" s="33">
        <v>1449562</v>
      </c>
      <c r="D29" s="34" t="s">
        <v>464</v>
      </c>
    </row>
    <row r="30" spans="1:4" ht="16" thickBot="1" x14ac:dyDescent="0.25">
      <c r="A30" s="35" t="s">
        <v>465</v>
      </c>
      <c r="B30" s="29"/>
      <c r="C30" s="29"/>
      <c r="D30" s="30" t="s">
        <v>466</v>
      </c>
    </row>
    <row r="31" spans="1:4" ht="29" thickBot="1" x14ac:dyDescent="0.25">
      <c r="A31" s="36" t="s">
        <v>467</v>
      </c>
      <c r="B31" s="33">
        <v>11830476</v>
      </c>
      <c r="C31" s="33">
        <v>8894885</v>
      </c>
      <c r="D31" s="34" t="s">
        <v>468</v>
      </c>
    </row>
    <row r="32" spans="1:4" ht="29" thickBot="1" x14ac:dyDescent="0.25">
      <c r="A32" s="36" t="s">
        <v>469</v>
      </c>
      <c r="B32" s="33">
        <v>0</v>
      </c>
      <c r="C32" s="33">
        <v>0</v>
      </c>
      <c r="D32" s="34" t="s">
        <v>470</v>
      </c>
    </row>
    <row r="33" spans="1:4" ht="43" thickBot="1" x14ac:dyDescent="0.25">
      <c r="A33" s="36" t="s">
        <v>471</v>
      </c>
      <c r="B33" s="37">
        <v>5381</v>
      </c>
      <c r="C33" s="37">
        <v>3116</v>
      </c>
      <c r="D33" s="34" t="s">
        <v>472</v>
      </c>
    </row>
    <row r="34" spans="1:4" ht="16" thickBot="1" x14ac:dyDescent="0.25">
      <c r="A34" s="35" t="s">
        <v>473</v>
      </c>
      <c r="B34" s="29"/>
      <c r="C34" s="29"/>
      <c r="D34" s="30" t="s">
        <v>474</v>
      </c>
    </row>
    <row r="35" spans="1:4" ht="16" thickBot="1" x14ac:dyDescent="0.25">
      <c r="A35" s="36" t="s">
        <v>475</v>
      </c>
      <c r="B35" s="33">
        <v>9694943</v>
      </c>
      <c r="C35" s="33">
        <v>10061742</v>
      </c>
      <c r="D35" s="34" t="s">
        <v>476</v>
      </c>
    </row>
    <row r="36" spans="1:4" ht="16" thickBot="1" x14ac:dyDescent="0.25">
      <c r="A36" s="36" t="s">
        <v>477</v>
      </c>
      <c r="B36" s="33">
        <v>0</v>
      </c>
      <c r="C36" s="33">
        <v>0</v>
      </c>
      <c r="D36" s="34" t="s">
        <v>478</v>
      </c>
    </row>
    <row r="37" spans="1:4" ht="29" thickBot="1" x14ac:dyDescent="0.25">
      <c r="A37" s="36" t="s">
        <v>479</v>
      </c>
      <c r="B37" s="37">
        <v>200313</v>
      </c>
      <c r="C37" s="37">
        <v>440695</v>
      </c>
      <c r="D37" s="34" t="s">
        <v>480</v>
      </c>
    </row>
    <row r="38" spans="1:4" ht="16" thickBot="1" x14ac:dyDescent="0.25">
      <c r="A38" s="35" t="s">
        <v>481</v>
      </c>
      <c r="B38" s="29"/>
      <c r="C38" s="29"/>
      <c r="D38" s="30" t="s">
        <v>482</v>
      </c>
    </row>
    <row r="39" spans="1:4" ht="16" thickBot="1" x14ac:dyDescent="0.25">
      <c r="A39" s="36" t="s">
        <v>483</v>
      </c>
      <c r="B39" s="33">
        <v>118068</v>
      </c>
      <c r="C39" s="33">
        <v>221208</v>
      </c>
      <c r="D39" s="34" t="s">
        <v>484</v>
      </c>
    </row>
    <row r="40" spans="1:4" ht="16" thickBot="1" x14ac:dyDescent="0.25">
      <c r="A40" s="36" t="s">
        <v>485</v>
      </c>
      <c r="B40" s="33"/>
      <c r="C40" s="33">
        <v>0</v>
      </c>
      <c r="D40" s="34" t="s">
        <v>486</v>
      </c>
    </row>
    <row r="41" spans="1:4" ht="16" thickBot="1" x14ac:dyDescent="0.25">
      <c r="A41" s="35" t="s">
        <v>487</v>
      </c>
      <c r="B41" s="29"/>
      <c r="C41" s="29"/>
      <c r="D41" s="30" t="s">
        <v>488</v>
      </c>
    </row>
    <row r="42" spans="1:4" ht="16" thickBot="1" x14ac:dyDescent="0.25">
      <c r="A42" s="36" t="s">
        <v>489</v>
      </c>
      <c r="B42" s="33">
        <v>970233234</v>
      </c>
      <c r="C42" s="33">
        <v>901310853</v>
      </c>
      <c r="D42" s="34" t="s">
        <v>490</v>
      </c>
    </row>
    <row r="43" spans="1:4" ht="29" thickBot="1" x14ac:dyDescent="0.25">
      <c r="A43" s="36" t="s">
        <v>491</v>
      </c>
      <c r="B43" s="33">
        <v>0</v>
      </c>
      <c r="C43" s="33">
        <v>0</v>
      </c>
      <c r="D43" s="34" t="s">
        <v>492</v>
      </c>
    </row>
    <row r="44" spans="1:4" ht="29" thickBot="1" x14ac:dyDescent="0.25">
      <c r="A44" s="36" t="s">
        <v>493</v>
      </c>
      <c r="B44" s="37">
        <v>29752034</v>
      </c>
      <c r="C44" s="37">
        <v>32624643</v>
      </c>
      <c r="D44" s="34" t="s">
        <v>494</v>
      </c>
    </row>
    <row r="45" spans="1:4" ht="29" thickBot="1" x14ac:dyDescent="0.25">
      <c r="A45" s="32" t="s">
        <v>495</v>
      </c>
      <c r="B45" s="33">
        <v>0</v>
      </c>
      <c r="C45" s="33">
        <v>0</v>
      </c>
      <c r="D45" s="34" t="s">
        <v>496</v>
      </c>
    </row>
    <row r="46" spans="1:4" ht="16" thickBot="1" x14ac:dyDescent="0.25">
      <c r="A46" s="35" t="s">
        <v>497</v>
      </c>
      <c r="B46" s="29"/>
      <c r="C46" s="29"/>
      <c r="D46" s="30" t="s">
        <v>498</v>
      </c>
    </row>
    <row r="47" spans="1:4" ht="16" thickBot="1" x14ac:dyDescent="0.25">
      <c r="A47" s="36" t="s">
        <v>499</v>
      </c>
      <c r="B47" s="33">
        <v>13190859</v>
      </c>
      <c r="C47" s="33">
        <v>10717227</v>
      </c>
      <c r="D47" s="34" t="s">
        <v>500</v>
      </c>
    </row>
    <row r="48" spans="1:4" ht="16" thickBot="1" x14ac:dyDescent="0.25">
      <c r="A48" s="36" t="s">
        <v>501</v>
      </c>
      <c r="B48" s="33">
        <v>0</v>
      </c>
      <c r="C48" s="33">
        <v>0</v>
      </c>
      <c r="D48" s="34" t="s">
        <v>502</v>
      </c>
    </row>
    <row r="49" spans="1:4" ht="29" thickBot="1" x14ac:dyDescent="0.25">
      <c r="A49" s="36" t="s">
        <v>503</v>
      </c>
      <c r="B49" s="37">
        <v>492699</v>
      </c>
      <c r="C49" s="37">
        <v>510590</v>
      </c>
      <c r="D49" s="34" t="s">
        <v>504</v>
      </c>
    </row>
    <row r="50" spans="1:4" ht="16" thickBot="1" x14ac:dyDescent="0.25">
      <c r="A50" s="35" t="s">
        <v>505</v>
      </c>
      <c r="B50" s="29"/>
      <c r="C50" s="29"/>
      <c r="D50" s="30" t="s">
        <v>506</v>
      </c>
    </row>
    <row r="51" spans="1:4" ht="16" thickBot="1" x14ac:dyDescent="0.25">
      <c r="A51" s="36" t="s">
        <v>507</v>
      </c>
      <c r="B51" s="33"/>
      <c r="C51" s="33"/>
      <c r="D51" s="34" t="s">
        <v>508</v>
      </c>
    </row>
    <row r="52" spans="1:4" ht="16" thickBot="1" x14ac:dyDescent="0.25">
      <c r="A52" s="36" t="s">
        <v>509</v>
      </c>
      <c r="B52" s="33"/>
      <c r="C52" s="33"/>
      <c r="D52" s="34" t="s">
        <v>510</v>
      </c>
    </row>
    <row r="53" spans="1:4" ht="29" thickBot="1" x14ac:dyDescent="0.25">
      <c r="A53" s="36" t="s">
        <v>511</v>
      </c>
      <c r="B53" s="37"/>
      <c r="C53" s="37"/>
      <c r="D53" s="34" t="s">
        <v>512</v>
      </c>
    </row>
    <row r="54" spans="1:4" ht="16" thickBot="1" x14ac:dyDescent="0.25">
      <c r="A54" s="35" t="s">
        <v>513</v>
      </c>
      <c r="B54" s="29"/>
      <c r="C54" s="29"/>
      <c r="D54" s="30" t="s">
        <v>514</v>
      </c>
    </row>
    <row r="55" spans="1:4" ht="16" thickBot="1" x14ac:dyDescent="0.25">
      <c r="A55" s="36" t="s">
        <v>515</v>
      </c>
      <c r="B55" s="33"/>
      <c r="C55" s="33"/>
      <c r="D55" s="34" t="s">
        <v>516</v>
      </c>
    </row>
    <row r="56" spans="1:4" ht="16" thickBot="1" x14ac:dyDescent="0.25">
      <c r="A56" s="36" t="s">
        <v>517</v>
      </c>
      <c r="B56" s="33"/>
      <c r="C56" s="33"/>
      <c r="D56" s="34" t="s">
        <v>518</v>
      </c>
    </row>
    <row r="57" spans="1:4" ht="29" thickBot="1" x14ac:dyDescent="0.25">
      <c r="A57" s="36" t="s">
        <v>519</v>
      </c>
      <c r="B57" s="37"/>
      <c r="C57" s="37"/>
      <c r="D57" s="34" t="s">
        <v>520</v>
      </c>
    </row>
    <row r="58" spans="1:4" ht="16" thickBot="1" x14ac:dyDescent="0.25">
      <c r="A58" s="35" t="s">
        <v>521</v>
      </c>
      <c r="B58" s="29"/>
      <c r="C58" s="29"/>
      <c r="D58" s="30" t="s">
        <v>522</v>
      </c>
    </row>
    <row r="59" spans="1:4" ht="16" thickBot="1" x14ac:dyDescent="0.25">
      <c r="A59" s="36" t="s">
        <v>523</v>
      </c>
      <c r="B59" s="33"/>
      <c r="C59" s="33"/>
      <c r="D59" s="34" t="s">
        <v>524</v>
      </c>
    </row>
    <row r="60" spans="1:4" ht="16" thickBot="1" x14ac:dyDescent="0.25">
      <c r="A60" s="36" t="s">
        <v>525</v>
      </c>
      <c r="B60" s="33"/>
      <c r="C60" s="33"/>
      <c r="D60" s="34" t="s">
        <v>526</v>
      </c>
    </row>
    <row r="61" spans="1:4" ht="29" thickBot="1" x14ac:dyDescent="0.25">
      <c r="A61" s="36" t="s">
        <v>527</v>
      </c>
      <c r="B61" s="37"/>
      <c r="C61" s="37"/>
      <c r="D61" s="34" t="s">
        <v>528</v>
      </c>
    </row>
    <row r="62" spans="1:4" ht="16" thickBot="1" x14ac:dyDescent="0.25">
      <c r="A62" s="35" t="s">
        <v>529</v>
      </c>
      <c r="B62" s="29"/>
      <c r="C62" s="29"/>
      <c r="D62" s="30" t="s">
        <v>530</v>
      </c>
    </row>
    <row r="63" spans="1:4" ht="29" thickBot="1" x14ac:dyDescent="0.25">
      <c r="A63" s="36" t="s">
        <v>531</v>
      </c>
      <c r="B63" s="33">
        <v>9466498</v>
      </c>
      <c r="C63" s="33">
        <v>9798848</v>
      </c>
      <c r="D63" s="34" t="s">
        <v>532</v>
      </c>
    </row>
    <row r="64" spans="1:4" ht="29" thickBot="1" x14ac:dyDescent="0.25">
      <c r="A64" s="36" t="s">
        <v>533</v>
      </c>
      <c r="B64" s="33">
        <v>0</v>
      </c>
      <c r="C64" s="33">
        <v>0</v>
      </c>
      <c r="D64" s="34" t="s">
        <v>534</v>
      </c>
    </row>
    <row r="65" spans="1:4" ht="29" thickBot="1" x14ac:dyDescent="0.25">
      <c r="A65" s="36" t="s">
        <v>535</v>
      </c>
      <c r="B65" s="37">
        <v>512511</v>
      </c>
      <c r="C65" s="37">
        <v>363284</v>
      </c>
      <c r="D65" s="34" t="s">
        <v>536</v>
      </c>
    </row>
    <row r="66" spans="1:4" ht="16" thickBot="1" x14ac:dyDescent="0.25">
      <c r="A66" s="35" t="s">
        <v>537</v>
      </c>
      <c r="B66" s="29"/>
      <c r="C66" s="29"/>
      <c r="D66" s="30" t="s">
        <v>538</v>
      </c>
    </row>
    <row r="67" spans="1:4" ht="16" thickBot="1" x14ac:dyDescent="0.25">
      <c r="A67" s="36" t="s">
        <v>539</v>
      </c>
      <c r="B67" s="33"/>
      <c r="C67" s="33"/>
      <c r="D67" s="34" t="s">
        <v>540</v>
      </c>
    </row>
    <row r="68" spans="1:4" ht="16" thickBot="1" x14ac:dyDescent="0.25">
      <c r="A68" s="36" t="s">
        <v>541</v>
      </c>
      <c r="B68" s="33"/>
      <c r="C68" s="33"/>
      <c r="D68" s="34" t="s">
        <v>542</v>
      </c>
    </row>
    <row r="69" spans="1:4" ht="29" thickBot="1" x14ac:dyDescent="0.25">
      <c r="A69" s="36" t="s">
        <v>543</v>
      </c>
      <c r="B69" s="37"/>
      <c r="C69" s="37"/>
      <c r="D69" s="34" t="s">
        <v>544</v>
      </c>
    </row>
    <row r="70" spans="1:4" ht="16" thickBot="1" x14ac:dyDescent="0.25">
      <c r="A70" s="35" t="s">
        <v>545</v>
      </c>
      <c r="B70" s="29"/>
      <c r="C70" s="29"/>
      <c r="D70" s="30" t="s">
        <v>546</v>
      </c>
    </row>
    <row r="71" spans="1:4" ht="29" thickBot="1" x14ac:dyDescent="0.25">
      <c r="A71" s="36" t="s">
        <v>547</v>
      </c>
      <c r="B71" s="33"/>
      <c r="C71" s="33"/>
      <c r="D71" s="34" t="s">
        <v>548</v>
      </c>
    </row>
    <row r="72" spans="1:4" ht="29" thickBot="1" x14ac:dyDescent="0.25">
      <c r="A72" s="36" t="s">
        <v>549</v>
      </c>
      <c r="B72" s="33"/>
      <c r="C72" s="33"/>
      <c r="D72" s="34" t="s">
        <v>550</v>
      </c>
    </row>
    <row r="73" spans="1:4" ht="29" thickBot="1" x14ac:dyDescent="0.25">
      <c r="A73" s="36" t="s">
        <v>551</v>
      </c>
      <c r="B73" s="37"/>
      <c r="C73" s="37"/>
      <c r="D73" s="34" t="s">
        <v>552</v>
      </c>
    </row>
    <row r="74" spans="1:4" ht="16" thickBot="1" x14ac:dyDescent="0.25">
      <c r="A74" s="35" t="s">
        <v>553</v>
      </c>
      <c r="B74" s="29"/>
      <c r="C74" s="29"/>
      <c r="D74" s="30" t="s">
        <v>554</v>
      </c>
    </row>
    <row r="75" spans="1:4" ht="16" thickBot="1" x14ac:dyDescent="0.25">
      <c r="A75" s="36" t="s">
        <v>555</v>
      </c>
      <c r="B75" s="33"/>
      <c r="C75" s="33"/>
      <c r="D75" s="34" t="s">
        <v>556</v>
      </c>
    </row>
    <row r="76" spans="1:4" ht="29" thickBot="1" x14ac:dyDescent="0.25">
      <c r="A76" s="36" t="s">
        <v>557</v>
      </c>
      <c r="B76" s="33"/>
      <c r="C76" s="33"/>
      <c r="D76" s="34" t="s">
        <v>558</v>
      </c>
    </row>
    <row r="77" spans="1:4" ht="29" thickBot="1" x14ac:dyDescent="0.25">
      <c r="A77" s="36" t="s">
        <v>559</v>
      </c>
      <c r="B77" s="37"/>
      <c r="C77" s="37"/>
      <c r="D77" s="34" t="s">
        <v>560</v>
      </c>
    </row>
    <row r="78" spans="1:4" ht="16" thickBot="1" x14ac:dyDescent="0.25">
      <c r="A78" s="35" t="s">
        <v>561</v>
      </c>
      <c r="B78" s="29"/>
      <c r="C78" s="29"/>
      <c r="D78" s="30" t="s">
        <v>562</v>
      </c>
    </row>
    <row r="79" spans="1:4" ht="16" thickBot="1" x14ac:dyDescent="0.25">
      <c r="A79" s="36" t="s">
        <v>563</v>
      </c>
      <c r="B79" s="33">
        <v>10332</v>
      </c>
      <c r="C79" s="33">
        <v>51555</v>
      </c>
      <c r="D79" s="34" t="s">
        <v>564</v>
      </c>
    </row>
    <row r="80" spans="1:4" ht="16" thickBot="1" x14ac:dyDescent="0.25">
      <c r="A80" s="36" t="s">
        <v>565</v>
      </c>
      <c r="B80" s="33">
        <v>0</v>
      </c>
      <c r="C80" s="33">
        <v>0</v>
      </c>
      <c r="D80" s="34" t="s">
        <v>566</v>
      </c>
    </row>
    <row r="81" spans="1:4" ht="29" thickBot="1" x14ac:dyDescent="0.25">
      <c r="A81" s="36" t="s">
        <v>567</v>
      </c>
      <c r="B81" s="33">
        <v>0</v>
      </c>
      <c r="C81" s="33">
        <v>0</v>
      </c>
      <c r="D81" s="34" t="s">
        <v>568</v>
      </c>
    </row>
    <row r="82" spans="1:4" ht="29" thickBot="1" x14ac:dyDescent="0.25">
      <c r="A82" s="36" t="s">
        <v>569</v>
      </c>
      <c r="B82" s="33">
        <v>0</v>
      </c>
      <c r="C82" s="33">
        <v>0</v>
      </c>
      <c r="D82" s="34" t="s">
        <v>570</v>
      </c>
    </row>
    <row r="83" spans="1:4" ht="16" thickBot="1" x14ac:dyDescent="0.25">
      <c r="A83" s="36" t="s">
        <v>571</v>
      </c>
      <c r="B83" s="33">
        <v>0</v>
      </c>
      <c r="C83" s="33">
        <v>0</v>
      </c>
      <c r="D83" s="34" t="s">
        <v>572</v>
      </c>
    </row>
    <row r="84" spans="1:4" ht="29" thickBot="1" x14ac:dyDescent="0.25">
      <c r="A84" s="36" t="s">
        <v>573</v>
      </c>
      <c r="B84" s="37">
        <v>2327</v>
      </c>
      <c r="C84" s="37">
        <v>513</v>
      </c>
      <c r="D84" s="34" t="s">
        <v>574</v>
      </c>
    </row>
    <row r="85" spans="1:4" ht="16" thickBot="1" x14ac:dyDescent="0.25">
      <c r="A85" s="35" t="s">
        <v>575</v>
      </c>
      <c r="B85" s="29"/>
      <c r="C85" s="29"/>
      <c r="D85" s="30" t="s">
        <v>576</v>
      </c>
    </row>
    <row r="86" spans="1:4" ht="16" thickBot="1" x14ac:dyDescent="0.25">
      <c r="A86" s="36" t="s">
        <v>577</v>
      </c>
      <c r="B86" s="33"/>
      <c r="C86" s="33"/>
      <c r="D86" s="34" t="s">
        <v>578</v>
      </c>
    </row>
    <row r="87" spans="1:4" ht="16" thickBot="1" x14ac:dyDescent="0.25">
      <c r="A87" s="36" t="s">
        <v>579</v>
      </c>
      <c r="B87" s="33"/>
      <c r="C87" s="33"/>
      <c r="D87" s="34" t="s">
        <v>580</v>
      </c>
    </row>
    <row r="88" spans="1:4" ht="29" thickBot="1" x14ac:dyDescent="0.25">
      <c r="A88" s="36" t="s">
        <v>581</v>
      </c>
      <c r="B88" s="33"/>
      <c r="C88" s="33"/>
      <c r="D88" s="34" t="s">
        <v>582</v>
      </c>
    </row>
    <row r="89" spans="1:4" ht="29" thickBot="1" x14ac:dyDescent="0.25">
      <c r="A89" s="36" t="s">
        <v>583</v>
      </c>
      <c r="B89" s="37"/>
      <c r="C89" s="37"/>
      <c r="D89" s="34" t="s">
        <v>584</v>
      </c>
    </row>
    <row r="90" spans="1:4" ht="16" thickBot="1" x14ac:dyDescent="0.25">
      <c r="A90" s="35" t="s">
        <v>585</v>
      </c>
      <c r="B90" s="29"/>
      <c r="C90" s="29"/>
      <c r="D90" s="30" t="s">
        <v>586</v>
      </c>
    </row>
    <row r="91" spans="1:4" ht="16" thickBot="1" x14ac:dyDescent="0.25">
      <c r="A91" s="36" t="s">
        <v>587</v>
      </c>
      <c r="B91" s="33">
        <v>0</v>
      </c>
      <c r="C91" s="33">
        <v>0</v>
      </c>
      <c r="D91" s="34" t="s">
        <v>588</v>
      </c>
    </row>
    <row r="92" spans="1:4" ht="16" thickBot="1" x14ac:dyDescent="0.25">
      <c r="A92" s="36" t="s">
        <v>589</v>
      </c>
      <c r="B92" s="33">
        <v>0</v>
      </c>
      <c r="C92" s="33">
        <v>0</v>
      </c>
      <c r="D92" s="34" t="s">
        <v>590</v>
      </c>
    </row>
    <row r="93" spans="1:4" ht="29" thickBot="1" x14ac:dyDescent="0.25">
      <c r="A93" s="36" t="s">
        <v>591</v>
      </c>
      <c r="B93" s="37">
        <v>0</v>
      </c>
      <c r="C93" s="37">
        <v>0</v>
      </c>
      <c r="D93" s="34" t="s">
        <v>592</v>
      </c>
    </row>
    <row r="94" spans="1:4" ht="16" thickBot="1" x14ac:dyDescent="0.25">
      <c r="A94" s="32" t="s">
        <v>593</v>
      </c>
      <c r="B94" s="33">
        <v>207665244</v>
      </c>
      <c r="C94" s="33">
        <v>203270516</v>
      </c>
      <c r="D94" s="34" t="s">
        <v>594</v>
      </c>
    </row>
    <row r="95" spans="1:4" ht="16" thickBot="1" x14ac:dyDescent="0.25">
      <c r="A95" s="32" t="s">
        <v>595</v>
      </c>
      <c r="B95" s="33">
        <v>201755756</v>
      </c>
      <c r="C95" s="33">
        <v>167881441</v>
      </c>
      <c r="D95" s="34" t="s">
        <v>596</v>
      </c>
    </row>
    <row r="96" spans="1:4" ht="43" thickBot="1" x14ac:dyDescent="0.25">
      <c r="A96" s="32" t="s">
        <v>597</v>
      </c>
      <c r="B96" s="33">
        <v>0</v>
      </c>
      <c r="C96" s="33">
        <v>0</v>
      </c>
      <c r="D96" s="34" t="s">
        <v>598</v>
      </c>
    </row>
    <row r="97" spans="1:4" ht="43" thickBot="1" x14ac:dyDescent="0.25">
      <c r="A97" s="32" t="s">
        <v>599</v>
      </c>
      <c r="B97" s="33">
        <v>0</v>
      </c>
      <c r="C97" s="33">
        <v>0</v>
      </c>
      <c r="D97" s="34" t="s">
        <v>600</v>
      </c>
    </row>
    <row r="98" spans="1:4" ht="16" thickBot="1" x14ac:dyDescent="0.25">
      <c r="A98" s="32" t="s">
        <v>601</v>
      </c>
      <c r="B98" s="33">
        <v>0</v>
      </c>
      <c r="C98" s="33">
        <v>0</v>
      </c>
      <c r="D98" s="34" t="s">
        <v>602</v>
      </c>
    </row>
    <row r="99" spans="1:4" ht="16" thickBot="1" x14ac:dyDescent="0.25">
      <c r="A99" s="32" t="s">
        <v>603</v>
      </c>
      <c r="B99" s="33">
        <v>1713699</v>
      </c>
      <c r="C99" s="33">
        <v>969926</v>
      </c>
      <c r="D99" s="34" t="s">
        <v>604</v>
      </c>
    </row>
    <row r="100" spans="1:4" ht="16" thickBot="1" x14ac:dyDescent="0.25">
      <c r="A100" s="32" t="s">
        <v>605</v>
      </c>
      <c r="B100" s="33">
        <v>0</v>
      </c>
      <c r="C100" s="33">
        <v>0</v>
      </c>
      <c r="D100" s="34" t="s">
        <v>606</v>
      </c>
    </row>
    <row r="101" spans="1:4" ht="16" thickBot="1" x14ac:dyDescent="0.25">
      <c r="A101" s="32" t="s">
        <v>607</v>
      </c>
      <c r="B101" s="33">
        <v>77001</v>
      </c>
      <c r="C101" s="33">
        <v>1562175</v>
      </c>
      <c r="D101" s="34" t="s">
        <v>608</v>
      </c>
    </row>
    <row r="102" spans="1:4" ht="16" thickBot="1" x14ac:dyDescent="0.25">
      <c r="A102" s="32" t="s">
        <v>609</v>
      </c>
      <c r="B102" s="33">
        <v>0</v>
      </c>
      <c r="C102" s="33">
        <v>0</v>
      </c>
      <c r="D102" s="34" t="s">
        <v>610</v>
      </c>
    </row>
    <row r="103" spans="1:4" ht="16" thickBot="1" x14ac:dyDescent="0.25">
      <c r="A103" s="32" t="s">
        <v>611</v>
      </c>
      <c r="B103" s="33">
        <v>5852206</v>
      </c>
      <c r="C103" s="33">
        <v>5495208</v>
      </c>
      <c r="D103" s="34" t="s">
        <v>612</v>
      </c>
    </row>
    <row r="104" spans="1:4" ht="29" thickBot="1" x14ac:dyDescent="0.25">
      <c r="A104" s="32" t="s">
        <v>613</v>
      </c>
      <c r="B104" s="33">
        <v>0</v>
      </c>
      <c r="C104" s="33">
        <v>0</v>
      </c>
      <c r="D104" s="34" t="s">
        <v>614</v>
      </c>
    </row>
    <row r="105" spans="1:4" ht="29" thickBot="1" x14ac:dyDescent="0.25">
      <c r="A105" s="35" t="s">
        <v>615</v>
      </c>
      <c r="B105" s="29"/>
      <c r="C105" s="29"/>
      <c r="D105" s="30" t="s">
        <v>616</v>
      </c>
    </row>
    <row r="106" spans="1:4" ht="29" thickBot="1" x14ac:dyDescent="0.25">
      <c r="A106" s="36" t="s">
        <v>617</v>
      </c>
      <c r="B106" s="33">
        <v>0</v>
      </c>
      <c r="C106" s="33">
        <v>0</v>
      </c>
      <c r="D106" s="34" t="s">
        <v>618</v>
      </c>
    </row>
    <row r="107" spans="1:4" ht="16" thickBot="1" x14ac:dyDescent="0.25">
      <c r="A107" s="36" t="s">
        <v>619</v>
      </c>
      <c r="B107" s="33">
        <v>0</v>
      </c>
      <c r="C107" s="33">
        <v>0</v>
      </c>
      <c r="D107" s="34" t="s">
        <v>620</v>
      </c>
    </row>
    <row r="108" spans="1:4" ht="16" thickBot="1" x14ac:dyDescent="0.25">
      <c r="A108" s="32" t="s">
        <v>621</v>
      </c>
      <c r="B108" s="33">
        <v>0</v>
      </c>
      <c r="C108" s="33">
        <v>0</v>
      </c>
      <c r="D108" s="34" t="s">
        <v>622</v>
      </c>
    </row>
    <row r="109" spans="1:4" ht="16" thickBot="1" x14ac:dyDescent="0.25">
      <c r="A109" s="32" t="s">
        <v>623</v>
      </c>
      <c r="B109" s="33">
        <v>0</v>
      </c>
      <c r="C109" s="33">
        <v>0</v>
      </c>
      <c r="D109" s="34" t="s">
        <v>624</v>
      </c>
    </row>
    <row r="110" spans="1:4" ht="16" thickBot="1" x14ac:dyDescent="0.25">
      <c r="A110" s="32" t="s">
        <v>625</v>
      </c>
      <c r="B110" s="33">
        <v>1158201</v>
      </c>
      <c r="C110" s="33">
        <v>1158201</v>
      </c>
      <c r="D110" s="34" t="s">
        <v>625</v>
      </c>
    </row>
    <row r="111" spans="1:4" ht="16" thickBot="1" x14ac:dyDescent="0.25">
      <c r="A111" s="32" t="s">
        <v>626</v>
      </c>
      <c r="B111" s="33">
        <v>620571</v>
      </c>
      <c r="C111" s="33">
        <v>647438</v>
      </c>
      <c r="D111" s="34" t="s">
        <v>627</v>
      </c>
    </row>
    <row r="112" spans="1:4" ht="16" thickBot="1" x14ac:dyDescent="0.25">
      <c r="A112" s="32" t="s">
        <v>628</v>
      </c>
      <c r="B112" s="33">
        <v>0</v>
      </c>
      <c r="C112" s="33">
        <v>0</v>
      </c>
      <c r="D112" s="34" t="s">
        <v>629</v>
      </c>
    </row>
    <row r="113" spans="1:4" ht="16" thickBot="1" x14ac:dyDescent="0.25">
      <c r="A113" s="32" t="s">
        <v>630</v>
      </c>
      <c r="B113" s="33">
        <v>0</v>
      </c>
      <c r="C113" s="33">
        <v>0</v>
      </c>
      <c r="D113" s="34" t="s">
        <v>631</v>
      </c>
    </row>
    <row r="114" spans="1:4" ht="16" thickBot="1" x14ac:dyDescent="0.25">
      <c r="A114" s="32" t="s">
        <v>632</v>
      </c>
      <c r="B114" s="33">
        <v>28473684</v>
      </c>
      <c r="C114" s="33">
        <v>28250624</v>
      </c>
      <c r="D114" s="34" t="s">
        <v>633</v>
      </c>
    </row>
    <row r="115" spans="1:4" ht="16" thickBot="1" x14ac:dyDescent="0.25">
      <c r="A115" s="32" t="s">
        <v>634</v>
      </c>
      <c r="B115" s="33">
        <v>0</v>
      </c>
      <c r="C115" s="33">
        <v>0</v>
      </c>
      <c r="D115" s="34" t="s">
        <v>635</v>
      </c>
    </row>
    <row r="116" spans="1:4" ht="16" thickBot="1" x14ac:dyDescent="0.25">
      <c r="A116" s="32" t="s">
        <v>636</v>
      </c>
      <c r="B116" s="33">
        <v>0</v>
      </c>
      <c r="C116" s="33">
        <v>0</v>
      </c>
      <c r="D116" s="34" t="s">
        <v>637</v>
      </c>
    </row>
    <row r="117" spans="1:4" ht="16" thickBot="1" x14ac:dyDescent="0.25">
      <c r="A117" s="32" t="s">
        <v>638</v>
      </c>
      <c r="B117" s="33">
        <v>0</v>
      </c>
      <c r="C117" s="33">
        <v>0</v>
      </c>
      <c r="D117" s="34" t="s">
        <v>639</v>
      </c>
    </row>
    <row r="118" spans="1:4" ht="16" thickBot="1" x14ac:dyDescent="0.25">
      <c r="A118" s="32" t="s">
        <v>640</v>
      </c>
      <c r="B118" s="33">
        <v>27226137</v>
      </c>
      <c r="C118" s="33">
        <v>24663248</v>
      </c>
      <c r="D118" s="34" t="s">
        <v>641</v>
      </c>
    </row>
    <row r="119" spans="1:4" ht="16" thickBot="1" x14ac:dyDescent="0.25">
      <c r="A119" s="35" t="s">
        <v>642</v>
      </c>
      <c r="B119" s="38">
        <v>1586828536</v>
      </c>
      <c r="C119" s="38">
        <v>1449301328</v>
      </c>
      <c r="D119" s="30" t="s">
        <v>643</v>
      </c>
    </row>
    <row r="120" spans="1:4" ht="29" thickBot="1" x14ac:dyDescent="0.25">
      <c r="A120" s="31" t="s">
        <v>644</v>
      </c>
      <c r="B120" s="29"/>
      <c r="C120" s="29"/>
      <c r="D120" s="30" t="s">
        <v>645</v>
      </c>
    </row>
    <row r="121" spans="1:4" ht="16" thickBot="1" x14ac:dyDescent="0.25">
      <c r="A121" s="35" t="s">
        <v>646</v>
      </c>
      <c r="B121" s="29"/>
      <c r="C121" s="29"/>
      <c r="D121" s="30" t="s">
        <v>647</v>
      </c>
    </row>
    <row r="122" spans="1:4" ht="16" thickBot="1" x14ac:dyDescent="0.25">
      <c r="A122" s="36" t="s">
        <v>648</v>
      </c>
      <c r="B122" s="33">
        <v>0</v>
      </c>
      <c r="C122" s="33">
        <v>0</v>
      </c>
      <c r="D122" s="34" t="s">
        <v>649</v>
      </c>
    </row>
    <row r="123" spans="1:4" ht="16" thickBot="1" x14ac:dyDescent="0.25">
      <c r="A123" s="36" t="s">
        <v>650</v>
      </c>
      <c r="B123" s="33">
        <v>0</v>
      </c>
      <c r="C123" s="33">
        <v>0</v>
      </c>
      <c r="D123" s="34" t="s">
        <v>651</v>
      </c>
    </row>
    <row r="124" spans="1:4" ht="16" thickBot="1" x14ac:dyDescent="0.25">
      <c r="A124" s="36" t="s">
        <v>652</v>
      </c>
      <c r="B124" s="33">
        <v>4727157</v>
      </c>
      <c r="C124" s="33">
        <v>3511679</v>
      </c>
      <c r="D124" s="34" t="s">
        <v>653</v>
      </c>
    </row>
    <row r="125" spans="1:4" ht="16" thickBot="1" x14ac:dyDescent="0.25">
      <c r="A125" s="39" t="s">
        <v>654</v>
      </c>
      <c r="B125" s="29"/>
      <c r="C125" s="29"/>
      <c r="D125" s="30" t="s">
        <v>655</v>
      </c>
    </row>
    <row r="126" spans="1:4" ht="16" thickBot="1" x14ac:dyDescent="0.25">
      <c r="A126" s="40" t="s">
        <v>656</v>
      </c>
      <c r="B126" s="29"/>
      <c r="C126" s="29"/>
      <c r="D126" s="30" t="s">
        <v>657</v>
      </c>
    </row>
    <row r="127" spans="1:4" ht="16" thickBot="1" x14ac:dyDescent="0.25">
      <c r="A127" s="41" t="s">
        <v>658</v>
      </c>
      <c r="B127" s="33">
        <v>431010515</v>
      </c>
      <c r="C127" s="33">
        <v>359435349</v>
      </c>
      <c r="D127" s="34" t="s">
        <v>659</v>
      </c>
    </row>
    <row r="128" spans="1:4" ht="16" thickBot="1" x14ac:dyDescent="0.25">
      <c r="A128" s="41" t="s">
        <v>660</v>
      </c>
      <c r="B128" s="33">
        <v>0</v>
      </c>
      <c r="C128" s="33">
        <v>0</v>
      </c>
      <c r="D128" s="34" t="s">
        <v>661</v>
      </c>
    </row>
    <row r="129" spans="1:4" ht="16" thickBot="1" x14ac:dyDescent="0.25">
      <c r="A129" s="40" t="s">
        <v>662</v>
      </c>
      <c r="B129" s="29"/>
      <c r="C129" s="29"/>
      <c r="D129" s="30" t="s">
        <v>663</v>
      </c>
    </row>
    <row r="130" spans="1:4" ht="16" thickBot="1" x14ac:dyDescent="0.25">
      <c r="A130" s="41" t="s">
        <v>664</v>
      </c>
      <c r="B130" s="33"/>
      <c r="C130" s="33"/>
      <c r="D130" s="34" t="s">
        <v>665</v>
      </c>
    </row>
    <row r="131" spans="1:4" ht="16" thickBot="1" x14ac:dyDescent="0.25">
      <c r="A131" s="41" t="s">
        <v>666</v>
      </c>
      <c r="B131" s="33"/>
      <c r="C131" s="33"/>
      <c r="D131" s="34" t="s">
        <v>667</v>
      </c>
    </row>
    <row r="132" spans="1:4" ht="16" thickBot="1" x14ac:dyDescent="0.25">
      <c r="A132" s="40" t="s">
        <v>668</v>
      </c>
      <c r="B132" s="29"/>
      <c r="C132" s="29"/>
      <c r="D132" s="30" t="s">
        <v>669</v>
      </c>
    </row>
    <row r="133" spans="1:4" ht="16" thickBot="1" x14ac:dyDescent="0.25">
      <c r="A133" s="41" t="s">
        <v>670</v>
      </c>
      <c r="B133" s="33">
        <v>608119555</v>
      </c>
      <c r="C133" s="33">
        <v>559622126</v>
      </c>
      <c r="D133" s="34" t="s">
        <v>671</v>
      </c>
    </row>
    <row r="134" spans="1:4" ht="16" thickBot="1" x14ac:dyDescent="0.25">
      <c r="A134" s="41" t="s">
        <v>672</v>
      </c>
      <c r="B134" s="33">
        <v>0</v>
      </c>
      <c r="C134" s="33">
        <v>0</v>
      </c>
      <c r="D134" s="34" t="s">
        <v>673</v>
      </c>
    </row>
    <row r="135" spans="1:4" ht="16" thickBot="1" x14ac:dyDescent="0.25">
      <c r="A135" s="40" t="s">
        <v>674</v>
      </c>
      <c r="B135" s="29"/>
      <c r="C135" s="29"/>
      <c r="D135" s="30" t="s">
        <v>675</v>
      </c>
    </row>
    <row r="136" spans="1:4" ht="16" thickBot="1" x14ac:dyDescent="0.25">
      <c r="A136" s="41" t="s">
        <v>676</v>
      </c>
      <c r="B136" s="33"/>
      <c r="C136" s="33"/>
      <c r="D136" s="34" t="s">
        <v>677</v>
      </c>
    </row>
    <row r="137" spans="1:4" ht="16" thickBot="1" x14ac:dyDescent="0.25">
      <c r="A137" s="41" t="s">
        <v>678</v>
      </c>
      <c r="B137" s="33"/>
      <c r="C137" s="33"/>
      <c r="D137" s="34" t="s">
        <v>679</v>
      </c>
    </row>
    <row r="138" spans="1:4" ht="16" thickBot="1" x14ac:dyDescent="0.25">
      <c r="A138" s="40" t="s">
        <v>680</v>
      </c>
      <c r="B138" s="29"/>
      <c r="C138" s="29"/>
      <c r="D138" s="30" t="s">
        <v>681</v>
      </c>
    </row>
    <row r="139" spans="1:4" ht="16" thickBot="1" x14ac:dyDescent="0.25">
      <c r="A139" s="41" t="s">
        <v>682</v>
      </c>
      <c r="B139" s="33">
        <v>194669011</v>
      </c>
      <c r="C139" s="33">
        <v>201556192</v>
      </c>
      <c r="D139" s="34" t="s">
        <v>683</v>
      </c>
    </row>
    <row r="140" spans="1:4" ht="16" thickBot="1" x14ac:dyDescent="0.25">
      <c r="A140" s="41" t="s">
        <v>684</v>
      </c>
      <c r="B140" s="33">
        <v>0</v>
      </c>
      <c r="C140" s="33">
        <v>0</v>
      </c>
      <c r="D140" s="34" t="s">
        <v>685</v>
      </c>
    </row>
    <row r="141" spans="1:4" ht="16" thickBot="1" x14ac:dyDescent="0.25">
      <c r="A141" s="40" t="s">
        <v>686</v>
      </c>
      <c r="B141" s="29"/>
      <c r="C141" s="29"/>
      <c r="D141" s="30" t="s">
        <v>687</v>
      </c>
    </row>
    <row r="142" spans="1:4" ht="16" thickBot="1" x14ac:dyDescent="0.25">
      <c r="A142" s="41" t="s">
        <v>688</v>
      </c>
      <c r="B142" s="33"/>
      <c r="C142" s="33"/>
      <c r="D142" s="34" t="s">
        <v>689</v>
      </c>
    </row>
    <row r="143" spans="1:4" ht="16" thickBot="1" x14ac:dyDescent="0.25">
      <c r="A143" s="41" t="s">
        <v>690</v>
      </c>
      <c r="B143" s="33"/>
      <c r="C143" s="33"/>
      <c r="D143" s="34" t="s">
        <v>691</v>
      </c>
    </row>
    <row r="144" spans="1:4" ht="16" thickBot="1" x14ac:dyDescent="0.25">
      <c r="A144" s="39" t="s">
        <v>692</v>
      </c>
      <c r="B144" s="29"/>
      <c r="C144" s="29"/>
      <c r="D144" s="30" t="s">
        <v>693</v>
      </c>
    </row>
    <row r="145" spans="1:4" ht="29" thickBot="1" x14ac:dyDescent="0.25">
      <c r="A145" s="42" t="s">
        <v>694</v>
      </c>
      <c r="B145" s="33">
        <v>0</v>
      </c>
      <c r="C145" s="33">
        <v>0</v>
      </c>
      <c r="D145" s="34" t="s">
        <v>695</v>
      </c>
    </row>
    <row r="146" spans="1:4" ht="29" thickBot="1" x14ac:dyDescent="0.25">
      <c r="A146" s="42" t="s">
        <v>696</v>
      </c>
      <c r="B146" s="33">
        <v>3966077</v>
      </c>
      <c r="C146" s="33">
        <v>3656298</v>
      </c>
      <c r="D146" s="34" t="s">
        <v>697</v>
      </c>
    </row>
    <row r="147" spans="1:4" ht="29" thickBot="1" x14ac:dyDescent="0.25">
      <c r="A147" s="36" t="s">
        <v>698</v>
      </c>
      <c r="B147" s="33">
        <v>0</v>
      </c>
      <c r="C147" s="33">
        <v>1330996</v>
      </c>
      <c r="D147" s="34" t="s">
        <v>699</v>
      </c>
    </row>
    <row r="148" spans="1:4" ht="16" thickBot="1" x14ac:dyDescent="0.25">
      <c r="A148" s="39" t="s">
        <v>700</v>
      </c>
      <c r="B148" s="29"/>
      <c r="C148" s="29"/>
      <c r="D148" s="30" t="s">
        <v>701</v>
      </c>
    </row>
    <row r="149" spans="1:4" ht="16" thickBot="1" x14ac:dyDescent="0.25">
      <c r="A149" s="42" t="s">
        <v>702</v>
      </c>
      <c r="B149" s="33">
        <v>97406</v>
      </c>
      <c r="C149" s="33">
        <v>257613</v>
      </c>
      <c r="D149" s="34" t="s">
        <v>703</v>
      </c>
    </row>
    <row r="150" spans="1:4" ht="16" thickBot="1" x14ac:dyDescent="0.25">
      <c r="A150" s="42" t="s">
        <v>704</v>
      </c>
      <c r="B150" s="33">
        <v>0</v>
      </c>
      <c r="C150" s="33">
        <v>0</v>
      </c>
      <c r="D150" s="34" t="s">
        <v>705</v>
      </c>
    </row>
    <row r="151" spans="1:4" ht="16" thickBot="1" x14ac:dyDescent="0.25">
      <c r="A151" s="36" t="s">
        <v>706</v>
      </c>
      <c r="B151" s="33">
        <v>0</v>
      </c>
      <c r="C151" s="33">
        <v>0</v>
      </c>
      <c r="D151" s="34" t="s">
        <v>707</v>
      </c>
    </row>
    <row r="152" spans="1:4" ht="16" thickBot="1" x14ac:dyDescent="0.25">
      <c r="A152" s="36" t="s">
        <v>708</v>
      </c>
      <c r="B152" s="33">
        <v>0</v>
      </c>
      <c r="C152" s="33">
        <v>0</v>
      </c>
      <c r="D152" s="34" t="s">
        <v>709</v>
      </c>
    </row>
    <row r="153" spans="1:4" ht="29" thickBot="1" x14ac:dyDescent="0.25">
      <c r="A153" s="36" t="s">
        <v>710</v>
      </c>
      <c r="B153" s="33">
        <v>0</v>
      </c>
      <c r="C153" s="33">
        <v>0</v>
      </c>
      <c r="D153" s="34" t="s">
        <v>711</v>
      </c>
    </row>
    <row r="154" spans="1:4" ht="16" thickBot="1" x14ac:dyDescent="0.25">
      <c r="A154" s="36" t="s">
        <v>712</v>
      </c>
      <c r="B154" s="33">
        <v>0</v>
      </c>
      <c r="C154" s="33">
        <v>0</v>
      </c>
      <c r="D154" s="34" t="s">
        <v>713</v>
      </c>
    </row>
    <row r="155" spans="1:4" ht="16" thickBot="1" x14ac:dyDescent="0.25">
      <c r="A155" s="39" t="s">
        <v>714</v>
      </c>
      <c r="B155" s="29"/>
      <c r="C155" s="29"/>
      <c r="D155" s="30" t="s">
        <v>715</v>
      </c>
    </row>
    <row r="156" spans="1:4" ht="16" thickBot="1" x14ac:dyDescent="0.25">
      <c r="A156" s="42" t="s">
        <v>716</v>
      </c>
      <c r="B156" s="33">
        <v>0</v>
      </c>
      <c r="C156" s="33">
        <v>0</v>
      </c>
      <c r="D156" s="34" t="s">
        <v>717</v>
      </c>
    </row>
    <row r="157" spans="1:4" ht="16" thickBot="1" x14ac:dyDescent="0.25">
      <c r="A157" s="42" t="s">
        <v>718</v>
      </c>
      <c r="B157" s="33">
        <v>4733862</v>
      </c>
      <c r="C157" s="33">
        <v>4651955</v>
      </c>
      <c r="D157" s="34" t="s">
        <v>719</v>
      </c>
    </row>
    <row r="158" spans="1:4" ht="16" thickBot="1" x14ac:dyDescent="0.25">
      <c r="A158" s="36" t="s">
        <v>720</v>
      </c>
      <c r="B158" s="33">
        <v>0</v>
      </c>
      <c r="C158" s="33">
        <v>0</v>
      </c>
      <c r="D158" s="34" t="s">
        <v>721</v>
      </c>
    </row>
    <row r="159" spans="1:4" ht="16" thickBot="1" x14ac:dyDescent="0.25">
      <c r="A159" s="36" t="s">
        <v>722</v>
      </c>
      <c r="B159" s="33">
        <v>0</v>
      </c>
      <c r="C159" s="33">
        <v>0</v>
      </c>
      <c r="D159" s="34" t="s">
        <v>723</v>
      </c>
    </row>
    <row r="160" spans="1:4" ht="16" thickBot="1" x14ac:dyDescent="0.25">
      <c r="A160" s="36" t="s">
        <v>724</v>
      </c>
      <c r="B160" s="33">
        <v>0</v>
      </c>
      <c r="C160" s="33">
        <v>0</v>
      </c>
      <c r="D160" s="34" t="s">
        <v>725</v>
      </c>
    </row>
    <row r="161" spans="1:4" ht="16" thickBot="1" x14ac:dyDescent="0.25">
      <c r="A161" s="36" t="s">
        <v>726</v>
      </c>
      <c r="B161" s="33">
        <v>0</v>
      </c>
      <c r="C161" s="33">
        <v>0</v>
      </c>
      <c r="D161" s="34" t="s">
        <v>727</v>
      </c>
    </row>
    <row r="162" spans="1:4" ht="16" thickBot="1" x14ac:dyDescent="0.25">
      <c r="A162" s="39" t="s">
        <v>728</v>
      </c>
      <c r="B162" s="29"/>
      <c r="C162" s="29"/>
      <c r="D162" s="30" t="s">
        <v>729</v>
      </c>
    </row>
    <row r="163" spans="1:4" ht="29" thickBot="1" x14ac:dyDescent="0.25">
      <c r="A163" s="42" t="s">
        <v>730</v>
      </c>
      <c r="B163" s="33">
        <v>2047436</v>
      </c>
      <c r="C163" s="33">
        <v>2242516</v>
      </c>
      <c r="D163" s="34" t="s">
        <v>731</v>
      </c>
    </row>
    <row r="164" spans="1:4" ht="29" thickBot="1" x14ac:dyDescent="0.25">
      <c r="A164" s="42" t="s">
        <v>732</v>
      </c>
      <c r="B164" s="33">
        <v>0</v>
      </c>
      <c r="C164" s="33">
        <v>0</v>
      </c>
      <c r="D164" s="34" t="s">
        <v>733</v>
      </c>
    </row>
    <row r="165" spans="1:4" ht="29" thickBot="1" x14ac:dyDescent="0.25">
      <c r="A165" s="42" t="s">
        <v>734</v>
      </c>
      <c r="B165" s="33">
        <v>0</v>
      </c>
      <c r="C165" s="33">
        <v>0</v>
      </c>
      <c r="D165" s="34" t="s">
        <v>735</v>
      </c>
    </row>
    <row r="166" spans="1:4" ht="16" thickBot="1" x14ac:dyDescent="0.25">
      <c r="A166" s="39" t="s">
        <v>736</v>
      </c>
      <c r="B166" s="29"/>
      <c r="C166" s="29"/>
      <c r="D166" s="30" t="s">
        <v>737</v>
      </c>
    </row>
    <row r="167" spans="1:4" ht="16" thickBot="1" x14ac:dyDescent="0.25">
      <c r="A167" s="42" t="s">
        <v>738</v>
      </c>
      <c r="B167" s="33">
        <v>0</v>
      </c>
      <c r="C167" s="33">
        <v>0</v>
      </c>
      <c r="D167" s="34" t="s">
        <v>739</v>
      </c>
    </row>
    <row r="168" spans="1:4" ht="16" thickBot="1" x14ac:dyDescent="0.25">
      <c r="A168" s="42" t="s">
        <v>740</v>
      </c>
      <c r="B168" s="33">
        <v>0</v>
      </c>
      <c r="C168" s="33">
        <v>0</v>
      </c>
      <c r="D168" s="34" t="s">
        <v>740</v>
      </c>
    </row>
    <row r="169" spans="1:4" ht="16" thickBot="1" x14ac:dyDescent="0.25">
      <c r="A169" s="42" t="s">
        <v>741</v>
      </c>
      <c r="B169" s="33">
        <v>0</v>
      </c>
      <c r="C169" s="33">
        <v>0</v>
      </c>
      <c r="D169" s="34" t="s">
        <v>742</v>
      </c>
    </row>
    <row r="170" spans="1:4" ht="16" thickBot="1" x14ac:dyDescent="0.25">
      <c r="A170" s="42" t="s">
        <v>743</v>
      </c>
      <c r="B170" s="33">
        <v>0</v>
      </c>
      <c r="C170" s="33">
        <v>0</v>
      </c>
      <c r="D170" s="34" t="s">
        <v>744</v>
      </c>
    </row>
    <row r="171" spans="1:4" ht="16" thickBot="1" x14ac:dyDescent="0.25">
      <c r="A171" s="42" t="s">
        <v>745</v>
      </c>
      <c r="B171" s="33">
        <v>65000</v>
      </c>
      <c r="C171" s="33">
        <v>500000</v>
      </c>
      <c r="D171" s="34" t="s">
        <v>746</v>
      </c>
    </row>
    <row r="172" spans="1:4" ht="16" thickBot="1" x14ac:dyDescent="0.25">
      <c r="A172" s="36" t="s">
        <v>747</v>
      </c>
      <c r="B172" s="33">
        <v>0</v>
      </c>
      <c r="C172" s="33">
        <v>0</v>
      </c>
      <c r="D172" s="34" t="s">
        <v>748</v>
      </c>
    </row>
    <row r="173" spans="1:4" ht="16" thickBot="1" x14ac:dyDescent="0.25">
      <c r="A173" s="36" t="s">
        <v>749</v>
      </c>
      <c r="B173" s="33">
        <v>0</v>
      </c>
      <c r="C173" s="33">
        <v>0</v>
      </c>
      <c r="D173" s="34" t="s">
        <v>750</v>
      </c>
    </row>
    <row r="174" spans="1:4" ht="16" thickBot="1" x14ac:dyDescent="0.25">
      <c r="A174" s="36" t="s">
        <v>751</v>
      </c>
      <c r="B174" s="33">
        <v>0</v>
      </c>
      <c r="C174" s="33">
        <v>0</v>
      </c>
      <c r="D174" s="34" t="s">
        <v>752</v>
      </c>
    </row>
    <row r="175" spans="1:4" ht="16" thickBot="1" x14ac:dyDescent="0.25">
      <c r="A175" s="36" t="s">
        <v>753</v>
      </c>
      <c r="B175" s="33">
        <v>0</v>
      </c>
      <c r="C175" s="33">
        <v>0</v>
      </c>
      <c r="D175" s="34" t="s">
        <v>754</v>
      </c>
    </row>
    <row r="176" spans="1:4" ht="16" thickBot="1" x14ac:dyDescent="0.25">
      <c r="A176" s="36" t="s">
        <v>755</v>
      </c>
      <c r="B176" s="33">
        <v>0</v>
      </c>
      <c r="C176" s="33">
        <v>0</v>
      </c>
      <c r="D176" s="34" t="s">
        <v>756</v>
      </c>
    </row>
    <row r="177" spans="1:4" ht="16" thickBot="1" x14ac:dyDescent="0.25">
      <c r="A177" s="36" t="s">
        <v>757</v>
      </c>
      <c r="B177" s="33">
        <v>0</v>
      </c>
      <c r="C177" s="33">
        <v>0</v>
      </c>
      <c r="D177" s="34" t="s">
        <v>758</v>
      </c>
    </row>
    <row r="178" spans="1:4" ht="29" thickBot="1" x14ac:dyDescent="0.25">
      <c r="A178" s="36" t="s">
        <v>759</v>
      </c>
      <c r="B178" s="33">
        <v>2866909</v>
      </c>
      <c r="C178" s="33">
        <v>2975187</v>
      </c>
      <c r="D178" s="34" t="s">
        <v>760</v>
      </c>
    </row>
    <row r="179" spans="1:4" ht="16" thickBot="1" x14ac:dyDescent="0.25">
      <c r="A179" s="36" t="s">
        <v>761</v>
      </c>
      <c r="B179" s="33">
        <v>0</v>
      </c>
      <c r="C179" s="33">
        <v>0</v>
      </c>
      <c r="D179" s="34" t="s">
        <v>762</v>
      </c>
    </row>
    <row r="180" spans="1:4" ht="16" thickBot="1" x14ac:dyDescent="0.25">
      <c r="A180" s="36" t="s">
        <v>763</v>
      </c>
      <c r="B180" s="33">
        <v>2943190</v>
      </c>
      <c r="C180" s="33">
        <v>626355</v>
      </c>
      <c r="D180" s="34" t="s">
        <v>764</v>
      </c>
    </row>
    <row r="181" spans="1:4" ht="16" thickBot="1" x14ac:dyDescent="0.25">
      <c r="A181" s="36" t="s">
        <v>765</v>
      </c>
      <c r="B181" s="33">
        <v>0</v>
      </c>
      <c r="C181" s="33">
        <v>0</v>
      </c>
      <c r="D181" s="34" t="s">
        <v>766</v>
      </c>
    </row>
    <row r="182" spans="1:4" ht="16" thickBot="1" x14ac:dyDescent="0.25">
      <c r="A182" s="36" t="s">
        <v>767</v>
      </c>
      <c r="B182" s="33">
        <v>0</v>
      </c>
      <c r="C182" s="33">
        <v>0</v>
      </c>
      <c r="D182" s="34" t="s">
        <v>768</v>
      </c>
    </row>
    <row r="183" spans="1:4" ht="16" thickBot="1" x14ac:dyDescent="0.25">
      <c r="A183" s="36" t="s">
        <v>769</v>
      </c>
      <c r="B183" s="33">
        <v>29268935</v>
      </c>
      <c r="C183" s="33">
        <v>27515449</v>
      </c>
      <c r="D183" s="34" t="s">
        <v>770</v>
      </c>
    </row>
    <row r="184" spans="1:4" ht="16" thickBot="1" x14ac:dyDescent="0.25">
      <c r="A184" s="36" t="s">
        <v>771</v>
      </c>
      <c r="B184" s="33">
        <v>9993233</v>
      </c>
      <c r="C184" s="33">
        <v>9097709</v>
      </c>
      <c r="D184" s="34" t="s">
        <v>772</v>
      </c>
    </row>
    <row r="185" spans="1:4" ht="16" thickBot="1" x14ac:dyDescent="0.25">
      <c r="A185" s="39" t="s">
        <v>773</v>
      </c>
      <c r="B185" s="29"/>
      <c r="C185" s="29"/>
      <c r="D185" s="30" t="s">
        <v>774</v>
      </c>
    </row>
    <row r="186" spans="1:4" ht="16" thickBot="1" x14ac:dyDescent="0.25">
      <c r="A186" s="42" t="s">
        <v>775</v>
      </c>
      <c r="B186" s="33">
        <v>0</v>
      </c>
      <c r="C186" s="33">
        <v>0</v>
      </c>
      <c r="D186" s="34" t="s">
        <v>776</v>
      </c>
    </row>
    <row r="187" spans="1:4" ht="16" thickBot="1" x14ac:dyDescent="0.25">
      <c r="A187" s="42" t="s">
        <v>777</v>
      </c>
      <c r="B187" s="33">
        <v>0</v>
      </c>
      <c r="C187" s="33">
        <v>0</v>
      </c>
      <c r="D187" s="34" t="s">
        <v>778</v>
      </c>
    </row>
    <row r="188" spans="1:4" ht="16" thickBot="1" x14ac:dyDescent="0.25">
      <c r="A188" s="39" t="s">
        <v>779</v>
      </c>
      <c r="B188" s="38">
        <v>1294508286</v>
      </c>
      <c r="C188" s="38">
        <v>1176979424</v>
      </c>
      <c r="D188" s="30" t="s">
        <v>780</v>
      </c>
    </row>
    <row r="189" spans="1:4" ht="16" thickBot="1" x14ac:dyDescent="0.25">
      <c r="A189" s="35" t="s">
        <v>781</v>
      </c>
      <c r="B189" s="29"/>
      <c r="C189" s="29"/>
      <c r="D189" s="30" t="s">
        <v>782</v>
      </c>
    </row>
    <row r="190" spans="1:4" ht="16" thickBot="1" x14ac:dyDescent="0.25">
      <c r="A190" s="39" t="s">
        <v>783</v>
      </c>
      <c r="B190" s="29"/>
      <c r="C190" s="29"/>
      <c r="D190" s="30" t="s">
        <v>784</v>
      </c>
    </row>
    <row r="191" spans="1:4" ht="16" thickBot="1" x14ac:dyDescent="0.25">
      <c r="A191" s="40" t="s">
        <v>785</v>
      </c>
      <c r="B191" s="29"/>
      <c r="C191" s="29"/>
      <c r="D191" s="30" t="s">
        <v>786</v>
      </c>
    </row>
    <row r="192" spans="1:4" ht="16" thickBot="1" x14ac:dyDescent="0.25">
      <c r="A192" s="41" t="s">
        <v>787</v>
      </c>
      <c r="B192" s="33">
        <v>375121</v>
      </c>
      <c r="C192" s="33">
        <v>423684</v>
      </c>
      <c r="D192" s="34" t="s">
        <v>788</v>
      </c>
    </row>
    <row r="193" spans="1:4" ht="29" thickBot="1" x14ac:dyDescent="0.25">
      <c r="A193" s="41" t="s">
        <v>789</v>
      </c>
      <c r="B193" s="33"/>
      <c r="C193" s="33"/>
      <c r="D193" s="34" t="s">
        <v>790</v>
      </c>
    </row>
    <row r="194" spans="1:4" ht="16" thickBot="1" x14ac:dyDescent="0.25">
      <c r="A194" s="40" t="s">
        <v>791</v>
      </c>
      <c r="B194" s="29"/>
      <c r="C194" s="29"/>
      <c r="D194" s="30" t="s">
        <v>792</v>
      </c>
    </row>
    <row r="195" spans="1:4" ht="29" thickBot="1" x14ac:dyDescent="0.25">
      <c r="A195" s="41" t="s">
        <v>793</v>
      </c>
      <c r="B195" s="33">
        <v>1007317</v>
      </c>
      <c r="C195" s="33">
        <v>984577</v>
      </c>
      <c r="D195" s="34" t="s">
        <v>794</v>
      </c>
    </row>
    <row r="196" spans="1:4" ht="29" thickBot="1" x14ac:dyDescent="0.25">
      <c r="A196" s="41" t="s">
        <v>795</v>
      </c>
      <c r="B196" s="33">
        <v>0</v>
      </c>
      <c r="C196" s="33">
        <v>0</v>
      </c>
      <c r="D196" s="34" t="s">
        <v>796</v>
      </c>
    </row>
    <row r="197" spans="1:4" ht="16" thickBot="1" x14ac:dyDescent="0.25">
      <c r="A197" s="40" t="s">
        <v>797</v>
      </c>
      <c r="B197" s="29"/>
      <c r="C197" s="29"/>
      <c r="D197" s="30" t="s">
        <v>798</v>
      </c>
    </row>
    <row r="198" spans="1:4" ht="29" thickBot="1" x14ac:dyDescent="0.25">
      <c r="A198" s="41" t="s">
        <v>799</v>
      </c>
      <c r="B198" s="33">
        <v>9150257</v>
      </c>
      <c r="C198" s="33">
        <v>8078556</v>
      </c>
      <c r="D198" s="34" t="s">
        <v>800</v>
      </c>
    </row>
    <row r="199" spans="1:4" ht="29" thickBot="1" x14ac:dyDescent="0.25">
      <c r="A199" s="41" t="s">
        <v>801</v>
      </c>
      <c r="B199" s="33">
        <v>0</v>
      </c>
      <c r="C199" s="33">
        <v>0</v>
      </c>
      <c r="D199" s="34" t="s">
        <v>802</v>
      </c>
    </row>
    <row r="200" spans="1:4" ht="16" thickBot="1" x14ac:dyDescent="0.25">
      <c r="A200" s="39" t="s">
        <v>803</v>
      </c>
      <c r="B200" s="29"/>
      <c r="C200" s="29"/>
      <c r="D200" s="30" t="s">
        <v>803</v>
      </c>
    </row>
    <row r="201" spans="1:4" ht="16" thickBot="1" x14ac:dyDescent="0.25">
      <c r="A201" s="42" t="s">
        <v>785</v>
      </c>
      <c r="B201" s="33"/>
      <c r="C201" s="33"/>
      <c r="D201" s="34" t="s">
        <v>786</v>
      </c>
    </row>
    <row r="202" spans="1:4" ht="16" thickBot="1" x14ac:dyDescent="0.25">
      <c r="A202" s="42" t="s">
        <v>804</v>
      </c>
      <c r="B202" s="33"/>
      <c r="C202" s="33"/>
      <c r="D202" s="34" t="s">
        <v>805</v>
      </c>
    </row>
    <row r="203" spans="1:4" ht="16" thickBot="1" x14ac:dyDescent="0.25">
      <c r="A203" s="42" t="s">
        <v>797</v>
      </c>
      <c r="B203" s="33"/>
      <c r="C203" s="33"/>
      <c r="D203" s="34" t="s">
        <v>798</v>
      </c>
    </row>
    <row r="204" spans="1:4" ht="16" thickBot="1" x14ac:dyDescent="0.25">
      <c r="A204" s="39" t="s">
        <v>806</v>
      </c>
      <c r="B204" s="29"/>
      <c r="C204" s="29"/>
      <c r="D204" s="30" t="s">
        <v>807</v>
      </c>
    </row>
    <row r="205" spans="1:4" ht="16" thickBot="1" x14ac:dyDescent="0.25">
      <c r="A205" s="42" t="s">
        <v>808</v>
      </c>
      <c r="B205" s="33">
        <v>100000</v>
      </c>
      <c r="C205" s="33">
        <v>0</v>
      </c>
      <c r="D205" s="34" t="s">
        <v>809</v>
      </c>
    </row>
    <row r="206" spans="1:4" ht="16" thickBot="1" x14ac:dyDescent="0.25">
      <c r="A206" s="42" t="s">
        <v>810</v>
      </c>
      <c r="B206" s="33">
        <v>0</v>
      </c>
      <c r="C206" s="33">
        <v>0</v>
      </c>
      <c r="D206" s="34" t="s">
        <v>811</v>
      </c>
    </row>
    <row r="207" spans="1:4" ht="16" thickBot="1" x14ac:dyDescent="0.25">
      <c r="A207" s="42" t="s">
        <v>812</v>
      </c>
      <c r="B207" s="33">
        <v>0</v>
      </c>
      <c r="C207" s="33">
        <v>0</v>
      </c>
      <c r="D207" s="34" t="s">
        <v>813</v>
      </c>
    </row>
    <row r="208" spans="1:4" ht="16" thickBot="1" x14ac:dyDescent="0.25">
      <c r="A208" s="39" t="s">
        <v>814</v>
      </c>
      <c r="B208" s="38">
        <v>10632695</v>
      </c>
      <c r="C208" s="38">
        <v>9486817</v>
      </c>
      <c r="D208" s="30" t="s">
        <v>815</v>
      </c>
    </row>
    <row r="209" spans="1:4" ht="16" thickBot="1" x14ac:dyDescent="0.25">
      <c r="A209" s="35" t="s">
        <v>816</v>
      </c>
      <c r="B209" s="38">
        <v>0</v>
      </c>
      <c r="C209" s="38">
        <v>0</v>
      </c>
      <c r="D209" s="34" t="s">
        <v>817</v>
      </c>
    </row>
    <row r="210" spans="1:4" ht="16" thickBot="1" x14ac:dyDescent="0.25">
      <c r="A210" s="35" t="s">
        <v>818</v>
      </c>
      <c r="B210" s="29"/>
      <c r="C210" s="29"/>
      <c r="D210" s="30" t="s">
        <v>819</v>
      </c>
    </row>
    <row r="211" spans="1:4" ht="29" thickBot="1" x14ac:dyDescent="0.25">
      <c r="A211" s="39" t="s">
        <v>820</v>
      </c>
      <c r="B211" s="29"/>
      <c r="C211" s="29"/>
      <c r="D211" s="30" t="s">
        <v>821</v>
      </c>
    </row>
    <row r="212" spans="1:4" ht="16" thickBot="1" x14ac:dyDescent="0.25">
      <c r="A212" s="42" t="s">
        <v>822</v>
      </c>
      <c r="B212" s="33">
        <v>1540938</v>
      </c>
      <c r="C212" s="33">
        <v>1540938</v>
      </c>
      <c r="D212" s="34" t="s">
        <v>823</v>
      </c>
    </row>
    <row r="213" spans="1:4" ht="16" thickBot="1" x14ac:dyDescent="0.25">
      <c r="A213" s="42" t="s">
        <v>824</v>
      </c>
      <c r="B213" s="33">
        <v>0</v>
      </c>
      <c r="C213" s="33">
        <v>0</v>
      </c>
      <c r="D213" s="34" t="s">
        <v>825</v>
      </c>
    </row>
    <row r="214" spans="1:4" ht="16" thickBot="1" x14ac:dyDescent="0.25">
      <c r="A214" s="42" t="s">
        <v>826</v>
      </c>
      <c r="B214" s="33">
        <v>5492318</v>
      </c>
      <c r="C214" s="33">
        <v>5548977</v>
      </c>
      <c r="D214" s="34" t="s">
        <v>827</v>
      </c>
    </row>
    <row r="215" spans="1:4" ht="16" thickBot="1" x14ac:dyDescent="0.25">
      <c r="A215" s="42" t="s">
        <v>828</v>
      </c>
      <c r="B215" s="37">
        <v>2152514</v>
      </c>
      <c r="C215" s="37">
        <v>0</v>
      </c>
      <c r="D215" s="34" t="s">
        <v>829</v>
      </c>
    </row>
    <row r="216" spans="1:4" ht="16" thickBot="1" x14ac:dyDescent="0.25">
      <c r="A216" s="42" t="s">
        <v>830</v>
      </c>
      <c r="B216" s="33">
        <v>0</v>
      </c>
      <c r="C216" s="33">
        <v>0</v>
      </c>
      <c r="D216" s="34" t="s">
        <v>831</v>
      </c>
    </row>
    <row r="217" spans="1:4" ht="16" thickBot="1" x14ac:dyDescent="0.25">
      <c r="A217" s="42" t="s">
        <v>832</v>
      </c>
      <c r="B217" s="33">
        <v>0</v>
      </c>
      <c r="C217" s="33">
        <v>0</v>
      </c>
      <c r="D217" s="34" t="s">
        <v>833</v>
      </c>
    </row>
    <row r="218" spans="1:4" ht="16" thickBot="1" x14ac:dyDescent="0.25">
      <c r="A218" s="42" t="s">
        <v>834</v>
      </c>
      <c r="B218" s="33">
        <v>0</v>
      </c>
      <c r="C218" s="33">
        <v>0</v>
      </c>
      <c r="D218" s="34" t="s">
        <v>835</v>
      </c>
    </row>
    <row r="219" spans="1:4" ht="16" thickBot="1" x14ac:dyDescent="0.25">
      <c r="A219" s="42" t="s">
        <v>836</v>
      </c>
      <c r="B219" s="33">
        <v>11378973</v>
      </c>
      <c r="C219" s="33">
        <v>11138896</v>
      </c>
      <c r="D219" s="34" t="s">
        <v>837</v>
      </c>
    </row>
    <row r="220" spans="1:4" ht="29" thickBot="1" x14ac:dyDescent="0.25">
      <c r="A220" s="42" t="s">
        <v>838</v>
      </c>
      <c r="B220" s="33">
        <v>0</v>
      </c>
      <c r="C220" s="33">
        <v>457789</v>
      </c>
      <c r="D220" s="34" t="s">
        <v>839</v>
      </c>
    </row>
    <row r="221" spans="1:4" ht="43" thickBot="1" x14ac:dyDescent="0.25">
      <c r="A221" s="42" t="s">
        <v>840</v>
      </c>
      <c r="B221" s="33">
        <v>2108873</v>
      </c>
      <c r="C221" s="33">
        <v>273214</v>
      </c>
      <c r="D221" s="34" t="s">
        <v>841</v>
      </c>
    </row>
    <row r="222" spans="1:4" ht="29" thickBot="1" x14ac:dyDescent="0.25">
      <c r="A222" s="42" t="s">
        <v>842</v>
      </c>
      <c r="B222" s="33">
        <v>0</v>
      </c>
      <c r="C222" s="33">
        <v>0</v>
      </c>
      <c r="D222" s="34" t="s">
        <v>843</v>
      </c>
    </row>
    <row r="223" spans="1:4" ht="29" thickBot="1" x14ac:dyDescent="0.25">
      <c r="A223" s="42" t="s">
        <v>844</v>
      </c>
      <c r="B223" s="33">
        <v>0</v>
      </c>
      <c r="C223" s="33">
        <v>0</v>
      </c>
      <c r="D223" s="34" t="s">
        <v>845</v>
      </c>
    </row>
    <row r="224" spans="1:4" ht="16" thickBot="1" x14ac:dyDescent="0.25">
      <c r="A224" s="42" t="s">
        <v>846</v>
      </c>
      <c r="B224" s="33">
        <v>0</v>
      </c>
      <c r="C224" s="33">
        <v>0</v>
      </c>
      <c r="D224" s="34" t="s">
        <v>847</v>
      </c>
    </row>
    <row r="225" spans="1:4" ht="29" thickBot="1" x14ac:dyDescent="0.25">
      <c r="A225" s="42" t="s">
        <v>848</v>
      </c>
      <c r="B225" s="33">
        <v>0</v>
      </c>
      <c r="C225" s="33">
        <v>0</v>
      </c>
      <c r="D225" s="34" t="s">
        <v>849</v>
      </c>
    </row>
    <row r="226" spans="1:4" ht="16" thickBot="1" x14ac:dyDescent="0.25">
      <c r="A226" s="42" t="s">
        <v>850</v>
      </c>
      <c r="B226" s="33">
        <v>0</v>
      </c>
      <c r="C226" s="33">
        <v>0</v>
      </c>
      <c r="D226" s="34" t="s">
        <v>851</v>
      </c>
    </row>
    <row r="227" spans="1:4" ht="29" thickBot="1" x14ac:dyDescent="0.25">
      <c r="A227" s="42" t="s">
        <v>852</v>
      </c>
      <c r="B227" s="33">
        <v>0</v>
      </c>
      <c r="C227" s="33">
        <v>0</v>
      </c>
      <c r="D227" s="34" t="s">
        <v>853</v>
      </c>
    </row>
    <row r="228" spans="1:4" ht="16" thickBot="1" x14ac:dyDescent="0.25">
      <c r="A228" s="42" t="s">
        <v>854</v>
      </c>
      <c r="B228" s="33">
        <v>-91070</v>
      </c>
      <c r="C228" s="33">
        <v>1385</v>
      </c>
      <c r="D228" s="34" t="s">
        <v>855</v>
      </c>
    </row>
    <row r="229" spans="1:4" ht="16" thickBot="1" x14ac:dyDescent="0.25">
      <c r="A229" s="40" t="s">
        <v>856</v>
      </c>
      <c r="B229" s="29"/>
      <c r="C229" s="29"/>
      <c r="D229" s="30" t="s">
        <v>857</v>
      </c>
    </row>
    <row r="230" spans="1:4" ht="29" thickBot="1" x14ac:dyDescent="0.25">
      <c r="A230" s="43" t="s">
        <v>858</v>
      </c>
      <c r="B230" s="29"/>
      <c r="C230" s="29"/>
      <c r="D230" s="30" t="s">
        <v>859</v>
      </c>
    </row>
    <row r="231" spans="1:4" ht="16" thickBot="1" x14ac:dyDescent="0.25">
      <c r="A231" s="44" t="s">
        <v>860</v>
      </c>
      <c r="B231" s="33">
        <v>4268903</v>
      </c>
      <c r="C231" s="33">
        <v>3720540</v>
      </c>
      <c r="D231" s="34" t="s">
        <v>861</v>
      </c>
    </row>
    <row r="232" spans="1:4" ht="16" thickBot="1" x14ac:dyDescent="0.25">
      <c r="A232" s="44" t="s">
        <v>862</v>
      </c>
      <c r="B232" s="33">
        <v>0</v>
      </c>
      <c r="C232" s="33">
        <v>0</v>
      </c>
      <c r="D232" s="34" t="s">
        <v>863</v>
      </c>
    </row>
    <row r="233" spans="1:4" ht="29" thickBot="1" x14ac:dyDescent="0.25">
      <c r="A233" s="41" t="s">
        <v>864</v>
      </c>
      <c r="B233" s="33">
        <v>258920057</v>
      </c>
      <c r="C233" s="33">
        <v>239958882</v>
      </c>
      <c r="D233" s="34" t="s">
        <v>865</v>
      </c>
    </row>
    <row r="234" spans="1:4" ht="43" thickBot="1" x14ac:dyDescent="0.25">
      <c r="A234" s="40" t="s">
        <v>866</v>
      </c>
      <c r="B234" s="38">
        <v>281466478</v>
      </c>
      <c r="C234" s="38">
        <v>262640621</v>
      </c>
      <c r="D234" s="30" t="s">
        <v>867</v>
      </c>
    </row>
    <row r="235" spans="1:4" ht="16" thickBot="1" x14ac:dyDescent="0.25">
      <c r="A235" s="36" t="s">
        <v>868</v>
      </c>
      <c r="B235" s="33">
        <v>0</v>
      </c>
      <c r="C235" s="33">
        <v>0</v>
      </c>
      <c r="D235" s="34" t="s">
        <v>869</v>
      </c>
    </row>
    <row r="236" spans="1:4" ht="16" thickBot="1" x14ac:dyDescent="0.25">
      <c r="A236" s="36" t="s">
        <v>870</v>
      </c>
      <c r="B236" s="33">
        <v>221077</v>
      </c>
      <c r="C236" s="33">
        <v>194466</v>
      </c>
      <c r="D236" s="34" t="s">
        <v>871</v>
      </c>
    </row>
    <row r="237" spans="1:4" ht="16" thickBot="1" x14ac:dyDescent="0.25">
      <c r="A237" s="39" t="s">
        <v>872</v>
      </c>
      <c r="B237" s="38">
        <v>281687555</v>
      </c>
      <c r="C237" s="38">
        <v>262835087</v>
      </c>
      <c r="D237" s="30" t="s">
        <v>873</v>
      </c>
    </row>
    <row r="238" spans="1:4" ht="29" thickBot="1" x14ac:dyDescent="0.25">
      <c r="A238" s="35" t="s">
        <v>874</v>
      </c>
      <c r="B238" s="38">
        <v>1586828536</v>
      </c>
      <c r="C238" s="38">
        <v>1449301328</v>
      </c>
      <c r="D238" s="30"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baseColWidth="10" defaultColWidth="9.3984375" defaultRowHeight="15" x14ac:dyDescent="0.2"/>
  <cols>
    <col min="1" max="1" width="42.59765625" style="45" bestFit="1" customWidth="1" collapsed="1"/>
    <col min="2" max="3" width="33.3984375" style="45" customWidth="1" collapsed="1"/>
    <col min="4" max="4" width="42.59765625" style="45" bestFit="1" customWidth="1" collapsed="1"/>
    <col min="5" max="16384" width="9.3984375" style="45" collapsed="1"/>
  </cols>
  <sheetData>
    <row r="1" spans="1:4" ht="34.5" customHeight="1" x14ac:dyDescent="0.2">
      <c r="A1" s="552" t="s">
        <v>876</v>
      </c>
      <c r="B1" s="553"/>
      <c r="C1" s="553"/>
      <c r="D1" s="553"/>
    </row>
    <row r="3" spans="1:4" ht="34.5" customHeight="1" x14ac:dyDescent="0.2">
      <c r="A3" s="552" t="s">
        <v>877</v>
      </c>
      <c r="B3" s="552"/>
      <c r="C3" s="554" t="s">
        <v>878</v>
      </c>
      <c r="D3" s="554"/>
    </row>
    <row r="4" spans="1:4" x14ac:dyDescent="0.2">
      <c r="A4" s="46"/>
      <c r="B4" s="47" t="s">
        <v>102</v>
      </c>
      <c r="C4" s="47" t="s">
        <v>105</v>
      </c>
    </row>
    <row r="5" spans="1:4" ht="29" thickBot="1" x14ac:dyDescent="0.25">
      <c r="A5" s="48" t="s">
        <v>877</v>
      </c>
      <c r="B5" s="49"/>
      <c r="C5" s="49"/>
      <c r="D5" s="50" t="s">
        <v>878</v>
      </c>
    </row>
    <row r="6" spans="1:4" ht="16" thickBot="1" x14ac:dyDescent="0.25">
      <c r="A6" s="51" t="s">
        <v>879</v>
      </c>
      <c r="B6" s="49"/>
      <c r="C6" s="49"/>
      <c r="D6" s="50" t="s">
        <v>880</v>
      </c>
    </row>
    <row r="7" spans="1:4" ht="16" thickBot="1" x14ac:dyDescent="0.25">
      <c r="A7" s="52" t="s">
        <v>881</v>
      </c>
      <c r="B7" s="53"/>
      <c r="C7" s="53"/>
      <c r="D7" s="54" t="s">
        <v>882</v>
      </c>
    </row>
    <row r="8" spans="1:4" ht="16" thickBot="1" x14ac:dyDescent="0.25">
      <c r="A8" s="52" t="s">
        <v>883</v>
      </c>
      <c r="B8" s="55"/>
      <c r="C8" s="55"/>
      <c r="D8" s="54" t="s">
        <v>884</v>
      </c>
    </row>
    <row r="9" spans="1:4" ht="29" thickBot="1" x14ac:dyDescent="0.25">
      <c r="A9" s="52" t="s">
        <v>885</v>
      </c>
      <c r="B9" s="53"/>
      <c r="C9" s="53"/>
      <c r="D9" s="54" t="s">
        <v>886</v>
      </c>
    </row>
    <row r="10" spans="1:4" ht="29" thickBot="1" x14ac:dyDescent="0.25">
      <c r="A10" s="52" t="s">
        <v>887</v>
      </c>
      <c r="B10" s="53"/>
      <c r="C10" s="53"/>
      <c r="D10" s="54" t="s">
        <v>888</v>
      </c>
    </row>
    <row r="11" spans="1:4" ht="16" thickBot="1" x14ac:dyDescent="0.25">
      <c r="A11" s="56" t="s">
        <v>889</v>
      </c>
      <c r="B11" s="49"/>
      <c r="C11" s="49"/>
      <c r="D11" s="50" t="s">
        <v>890</v>
      </c>
    </row>
    <row r="12" spans="1:4" ht="16" thickBot="1" x14ac:dyDescent="0.25">
      <c r="A12" s="57" t="s">
        <v>891</v>
      </c>
      <c r="B12" s="53"/>
      <c r="C12" s="53"/>
      <c r="D12" s="54" t="s">
        <v>892</v>
      </c>
    </row>
    <row r="13" spans="1:4" ht="16" thickBot="1" x14ac:dyDescent="0.25">
      <c r="A13" s="57" t="s">
        <v>893</v>
      </c>
      <c r="B13" s="55"/>
      <c r="C13" s="55"/>
      <c r="D13" s="54" t="s">
        <v>894</v>
      </c>
    </row>
    <row r="14" spans="1:4" ht="16" thickBot="1" x14ac:dyDescent="0.25">
      <c r="A14" s="57" t="s">
        <v>895</v>
      </c>
      <c r="B14" s="55"/>
      <c r="C14" s="55"/>
      <c r="D14" s="54" t="s">
        <v>896</v>
      </c>
    </row>
    <row r="15" spans="1:4" ht="29" thickBot="1" x14ac:dyDescent="0.25">
      <c r="A15" s="57" t="s">
        <v>897</v>
      </c>
      <c r="B15" s="53"/>
      <c r="C15" s="53"/>
      <c r="D15" s="54" t="s">
        <v>898</v>
      </c>
    </row>
    <row r="16" spans="1:4" ht="29" thickBot="1" x14ac:dyDescent="0.25">
      <c r="A16" s="57" t="s">
        <v>899</v>
      </c>
      <c r="B16" s="55"/>
      <c r="C16" s="55"/>
      <c r="D16" s="54" t="s">
        <v>900</v>
      </c>
    </row>
    <row r="17" spans="1:4" ht="16" thickBot="1" x14ac:dyDescent="0.25">
      <c r="A17" s="57" t="s">
        <v>901</v>
      </c>
      <c r="B17" s="53"/>
      <c r="C17" s="53"/>
      <c r="D17" s="54" t="s">
        <v>902</v>
      </c>
    </row>
    <row r="18" spans="1:4" ht="16" thickBot="1" x14ac:dyDescent="0.25">
      <c r="A18" s="57" t="s">
        <v>903</v>
      </c>
      <c r="B18" s="53"/>
      <c r="C18" s="53"/>
      <c r="D18" s="54" t="s">
        <v>904</v>
      </c>
    </row>
    <row r="19" spans="1:4" ht="16" thickBot="1" x14ac:dyDescent="0.25">
      <c r="A19" s="57" t="s">
        <v>905</v>
      </c>
      <c r="B19" s="53"/>
      <c r="C19" s="53"/>
      <c r="D19" s="54" t="s">
        <v>906</v>
      </c>
    </row>
    <row r="20" spans="1:4" ht="16" thickBot="1" x14ac:dyDescent="0.25">
      <c r="A20" s="57" t="s">
        <v>907</v>
      </c>
      <c r="B20" s="53"/>
      <c r="C20" s="53"/>
      <c r="D20" s="54" t="s">
        <v>908</v>
      </c>
    </row>
    <row r="21" spans="1:4" ht="16" thickBot="1" x14ac:dyDescent="0.25">
      <c r="A21" s="56" t="s">
        <v>909</v>
      </c>
      <c r="B21" s="49"/>
      <c r="C21" s="49"/>
      <c r="D21" s="50" t="s">
        <v>910</v>
      </c>
    </row>
    <row r="22" spans="1:4" ht="16" thickBot="1" x14ac:dyDescent="0.25">
      <c r="A22" s="57" t="s">
        <v>911</v>
      </c>
      <c r="B22" s="55"/>
      <c r="C22" s="55"/>
      <c r="D22" s="54" t="s">
        <v>912</v>
      </c>
    </row>
    <row r="23" spans="1:4" ht="16" thickBot="1" x14ac:dyDescent="0.25">
      <c r="A23" s="57" t="s">
        <v>913</v>
      </c>
      <c r="B23" s="53"/>
      <c r="C23" s="53"/>
      <c r="D23" s="54" t="s">
        <v>914</v>
      </c>
    </row>
    <row r="24" spans="1:4" ht="16" thickBot="1" x14ac:dyDescent="0.25">
      <c r="A24" s="57" t="s">
        <v>915</v>
      </c>
      <c r="B24" s="53"/>
      <c r="C24" s="53"/>
      <c r="D24" s="54" t="s">
        <v>916</v>
      </c>
    </row>
    <row r="25" spans="1:4" ht="29" thickBot="1" x14ac:dyDescent="0.25">
      <c r="A25" s="57" t="s">
        <v>917</v>
      </c>
      <c r="B25" s="55"/>
      <c r="C25" s="55"/>
      <c r="D25" s="54" t="s">
        <v>918</v>
      </c>
    </row>
    <row r="26" spans="1:4" ht="29" thickBot="1" x14ac:dyDescent="0.25">
      <c r="A26" s="57" t="s">
        <v>919</v>
      </c>
      <c r="B26" s="55"/>
      <c r="C26" s="55"/>
      <c r="D26" s="54" t="s">
        <v>920</v>
      </c>
    </row>
    <row r="27" spans="1:4" ht="29" thickBot="1" x14ac:dyDescent="0.25">
      <c r="A27" s="57" t="s">
        <v>921</v>
      </c>
      <c r="B27" s="55"/>
      <c r="C27" s="55"/>
      <c r="D27" s="54" t="s">
        <v>922</v>
      </c>
    </row>
    <row r="28" spans="1:4" ht="43" thickBot="1" x14ac:dyDescent="0.25">
      <c r="A28" s="57" t="s">
        <v>923</v>
      </c>
      <c r="B28" s="53"/>
      <c r="C28" s="53"/>
      <c r="D28" s="54" t="s">
        <v>924</v>
      </c>
    </row>
    <row r="29" spans="1:4" ht="43" thickBot="1" x14ac:dyDescent="0.25">
      <c r="A29" s="57" t="s">
        <v>925</v>
      </c>
      <c r="B29" s="55"/>
      <c r="C29" s="55"/>
      <c r="D29" s="54" t="s">
        <v>926</v>
      </c>
    </row>
    <row r="30" spans="1:4" ht="16" thickBot="1" x14ac:dyDescent="0.25">
      <c r="A30" s="57" t="s">
        <v>927</v>
      </c>
      <c r="B30" s="55"/>
      <c r="C30" s="55"/>
      <c r="D30" s="54" t="s">
        <v>928</v>
      </c>
    </row>
    <row r="31" spans="1:4" ht="16" thickBot="1" x14ac:dyDescent="0.25">
      <c r="A31" s="57" t="s">
        <v>929</v>
      </c>
      <c r="B31" s="55"/>
      <c r="C31" s="55"/>
      <c r="D31" s="54" t="s">
        <v>930</v>
      </c>
    </row>
    <row r="32" spans="1:4" ht="16" thickBot="1" x14ac:dyDescent="0.25">
      <c r="A32" s="57" t="s">
        <v>931</v>
      </c>
      <c r="B32" s="55"/>
      <c r="C32" s="55"/>
      <c r="D32" s="54" t="s">
        <v>932</v>
      </c>
    </row>
    <row r="33" spans="1:4" ht="16" thickBot="1" x14ac:dyDescent="0.25">
      <c r="A33" s="57" t="s">
        <v>933</v>
      </c>
      <c r="B33" s="55"/>
      <c r="C33" s="55"/>
      <c r="D33" s="54" t="s">
        <v>934</v>
      </c>
    </row>
    <row r="34" spans="1:4" ht="16" thickBot="1" x14ac:dyDescent="0.25">
      <c r="A34" s="56" t="s">
        <v>935</v>
      </c>
      <c r="B34" s="49"/>
      <c r="C34" s="49"/>
      <c r="D34" s="50" t="s">
        <v>936</v>
      </c>
    </row>
    <row r="35" spans="1:4" ht="29" thickBot="1" x14ac:dyDescent="0.25">
      <c r="A35" s="57" t="s">
        <v>937</v>
      </c>
      <c r="B35" s="53"/>
      <c r="C35" s="53"/>
      <c r="D35" s="54" t="s">
        <v>938</v>
      </c>
    </row>
    <row r="36" spans="1:4" ht="16" thickBot="1" x14ac:dyDescent="0.25">
      <c r="A36" s="57" t="s">
        <v>939</v>
      </c>
      <c r="B36" s="53"/>
      <c r="C36" s="53"/>
      <c r="D36" s="54" t="s">
        <v>940</v>
      </c>
    </row>
    <row r="37" spans="1:4" ht="16" thickBot="1" x14ac:dyDescent="0.25">
      <c r="A37" s="57" t="s">
        <v>941</v>
      </c>
      <c r="B37" s="53"/>
      <c r="C37" s="53"/>
      <c r="D37" s="54" t="s">
        <v>942</v>
      </c>
    </row>
    <row r="38" spans="1:4" ht="16" thickBot="1" x14ac:dyDescent="0.25">
      <c r="A38" s="57" t="s">
        <v>943</v>
      </c>
      <c r="B38" s="53"/>
      <c r="C38" s="53"/>
      <c r="D38" s="54" t="s">
        <v>944</v>
      </c>
    </row>
    <row r="39" spans="1:4" ht="16" thickBot="1" x14ac:dyDescent="0.25">
      <c r="A39" s="56" t="s">
        <v>945</v>
      </c>
      <c r="B39" s="49"/>
      <c r="C39" s="49"/>
      <c r="D39" s="50" t="s">
        <v>946</v>
      </c>
    </row>
    <row r="40" spans="1:4" ht="29" thickBot="1" x14ac:dyDescent="0.25">
      <c r="A40" s="57" t="s">
        <v>947</v>
      </c>
      <c r="B40" s="53"/>
      <c r="C40" s="53"/>
      <c r="D40" s="54" t="s">
        <v>948</v>
      </c>
    </row>
    <row r="41" spans="1:4" ht="29" thickBot="1" x14ac:dyDescent="0.25">
      <c r="A41" s="57" t="s">
        <v>949</v>
      </c>
      <c r="B41" s="53"/>
      <c r="C41" s="53"/>
      <c r="D41" s="54" t="s">
        <v>950</v>
      </c>
    </row>
    <row r="42" spans="1:4" ht="29" thickBot="1" x14ac:dyDescent="0.25">
      <c r="A42" s="57" t="s">
        <v>951</v>
      </c>
      <c r="B42" s="53"/>
      <c r="C42" s="53"/>
      <c r="D42" s="54" t="s">
        <v>952</v>
      </c>
    </row>
    <row r="43" spans="1:4" ht="29" thickBot="1" x14ac:dyDescent="0.25">
      <c r="A43" s="57" t="s">
        <v>953</v>
      </c>
      <c r="B43" s="53"/>
      <c r="C43" s="53"/>
      <c r="D43" s="54" t="s">
        <v>954</v>
      </c>
    </row>
    <row r="44" spans="1:4" ht="29" thickBot="1" x14ac:dyDescent="0.25">
      <c r="A44" s="57" t="s">
        <v>955</v>
      </c>
      <c r="B44" s="53"/>
      <c r="C44" s="53"/>
      <c r="D44" s="54" t="s">
        <v>956</v>
      </c>
    </row>
    <row r="45" spans="1:4" ht="43" thickBot="1" x14ac:dyDescent="0.25">
      <c r="A45" s="57" t="s">
        <v>957</v>
      </c>
      <c r="B45" s="53"/>
      <c r="C45" s="53"/>
      <c r="D45" s="54" t="s">
        <v>958</v>
      </c>
    </row>
    <row r="46" spans="1:4" ht="29" thickBot="1" x14ac:dyDescent="0.25">
      <c r="A46" s="57" t="s">
        <v>959</v>
      </c>
      <c r="B46" s="53"/>
      <c r="C46" s="53"/>
      <c r="D46" s="54" t="s">
        <v>960</v>
      </c>
    </row>
    <row r="47" spans="1:4" ht="16" thickBot="1" x14ac:dyDescent="0.25">
      <c r="A47" s="56" t="s">
        <v>961</v>
      </c>
      <c r="B47" s="49"/>
      <c r="C47" s="49"/>
      <c r="D47" s="50" t="s">
        <v>962</v>
      </c>
    </row>
    <row r="48" spans="1:4" ht="16" thickBot="1" x14ac:dyDescent="0.25">
      <c r="A48" s="57" t="s">
        <v>963</v>
      </c>
      <c r="B48" s="53"/>
      <c r="C48" s="53"/>
      <c r="D48" s="54" t="s">
        <v>964</v>
      </c>
    </row>
    <row r="49" spans="1:4" ht="29" thickBot="1" x14ac:dyDescent="0.25">
      <c r="A49" s="57" t="s">
        <v>965</v>
      </c>
      <c r="B49" s="53"/>
      <c r="C49" s="53"/>
      <c r="D49" s="54" t="s">
        <v>966</v>
      </c>
    </row>
    <row r="50" spans="1:4" ht="16" thickBot="1" x14ac:dyDescent="0.25">
      <c r="A50" s="57" t="s">
        <v>967</v>
      </c>
      <c r="B50" s="53"/>
      <c r="C50" s="53"/>
      <c r="D50" s="54" t="s">
        <v>968</v>
      </c>
    </row>
    <row r="51" spans="1:4" ht="16" thickBot="1" x14ac:dyDescent="0.25">
      <c r="A51" s="57" t="s">
        <v>969</v>
      </c>
      <c r="B51" s="53"/>
      <c r="C51" s="53"/>
      <c r="D51" s="54" t="s">
        <v>970</v>
      </c>
    </row>
    <row r="52" spans="1:4" ht="29" thickBot="1" x14ac:dyDescent="0.25">
      <c r="A52" s="57" t="s">
        <v>971</v>
      </c>
      <c r="B52" s="53"/>
      <c r="C52" s="53"/>
      <c r="D52" s="54" t="s">
        <v>972</v>
      </c>
    </row>
    <row r="53" spans="1:4" ht="29" thickBot="1" x14ac:dyDescent="0.25">
      <c r="A53" s="57" t="s">
        <v>973</v>
      </c>
      <c r="B53" s="53"/>
      <c r="C53" s="53"/>
      <c r="D53" s="54" t="s">
        <v>974</v>
      </c>
    </row>
    <row r="54" spans="1:4" ht="29" thickBot="1" x14ac:dyDescent="0.25">
      <c r="A54" s="57" t="s">
        <v>975</v>
      </c>
      <c r="B54" s="53"/>
      <c r="C54" s="53"/>
      <c r="D54" s="54" t="s">
        <v>976</v>
      </c>
    </row>
    <row r="55" spans="1:4" ht="29" thickBot="1" x14ac:dyDescent="0.25">
      <c r="A55" s="57" t="s">
        <v>977</v>
      </c>
      <c r="B55" s="53"/>
      <c r="C55" s="53"/>
      <c r="D55" s="54" t="s">
        <v>978</v>
      </c>
    </row>
    <row r="56" spans="1:4" ht="29" thickBot="1" x14ac:dyDescent="0.25">
      <c r="A56" s="57" t="s">
        <v>979</v>
      </c>
      <c r="B56" s="53"/>
      <c r="C56" s="53"/>
      <c r="D56" s="54" t="s">
        <v>980</v>
      </c>
    </row>
    <row r="57" spans="1:4" ht="16" thickBot="1" x14ac:dyDescent="0.25">
      <c r="A57" s="57" t="s">
        <v>961</v>
      </c>
      <c r="B57" s="53"/>
      <c r="C57" s="53"/>
      <c r="D57" s="54" t="s">
        <v>962</v>
      </c>
    </row>
    <row r="58" spans="1:4" ht="29" thickBot="1" x14ac:dyDescent="0.25">
      <c r="A58" s="56" t="s">
        <v>981</v>
      </c>
      <c r="B58" s="49"/>
      <c r="C58" s="49"/>
      <c r="D58" s="50" t="s">
        <v>982</v>
      </c>
    </row>
    <row r="59" spans="1:4" ht="29" thickBot="1" x14ac:dyDescent="0.25">
      <c r="A59" s="57" t="s">
        <v>983</v>
      </c>
      <c r="B59" s="53"/>
      <c r="C59" s="53"/>
      <c r="D59" s="54" t="s">
        <v>984</v>
      </c>
    </row>
    <row r="60" spans="1:4" ht="43" thickBot="1" x14ac:dyDescent="0.25">
      <c r="A60" s="57" t="s">
        <v>985</v>
      </c>
      <c r="B60" s="53"/>
      <c r="C60" s="53"/>
      <c r="D60" s="54" t="s">
        <v>986</v>
      </c>
    </row>
    <row r="61" spans="1:4" ht="43" thickBot="1" x14ac:dyDescent="0.25">
      <c r="A61" s="57" t="s">
        <v>987</v>
      </c>
      <c r="B61" s="53"/>
      <c r="C61" s="53"/>
      <c r="D61" s="54" t="s">
        <v>988</v>
      </c>
    </row>
    <row r="62" spans="1:4" ht="29" thickBot="1" x14ac:dyDescent="0.25">
      <c r="A62" s="57" t="s">
        <v>989</v>
      </c>
      <c r="B62" s="53"/>
      <c r="C62" s="53"/>
      <c r="D62" s="54" t="s">
        <v>990</v>
      </c>
    </row>
    <row r="63" spans="1:4" ht="43" thickBot="1" x14ac:dyDescent="0.25">
      <c r="A63" s="57" t="s">
        <v>991</v>
      </c>
      <c r="B63" s="53"/>
      <c r="C63" s="53"/>
      <c r="D63" s="54" t="s">
        <v>992</v>
      </c>
    </row>
    <row r="64" spans="1:4" ht="43" thickBot="1" x14ac:dyDescent="0.25">
      <c r="A64" s="57" t="s">
        <v>993</v>
      </c>
      <c r="B64" s="53"/>
      <c r="C64" s="53"/>
      <c r="D64" s="54" t="s">
        <v>994</v>
      </c>
    </row>
    <row r="65" spans="1:4" ht="29" thickBot="1" x14ac:dyDescent="0.25">
      <c r="A65" s="56" t="s">
        <v>995</v>
      </c>
      <c r="B65" s="49"/>
      <c r="C65" s="49"/>
      <c r="D65" s="50" t="s">
        <v>996</v>
      </c>
    </row>
    <row r="66" spans="1:4" ht="29" thickBot="1" x14ac:dyDescent="0.25">
      <c r="A66" s="57" t="s">
        <v>997</v>
      </c>
      <c r="B66" s="55"/>
      <c r="C66" s="55"/>
      <c r="D66" s="54" t="s">
        <v>998</v>
      </c>
    </row>
    <row r="67" spans="1:4" ht="29" thickBot="1" x14ac:dyDescent="0.25">
      <c r="A67" s="57" t="s">
        <v>999</v>
      </c>
      <c r="B67" s="55"/>
      <c r="C67" s="55"/>
      <c r="D67" s="54" t="s">
        <v>1000</v>
      </c>
    </row>
    <row r="68" spans="1:4" ht="29" thickBot="1" x14ac:dyDescent="0.25">
      <c r="A68" s="52" t="s">
        <v>1001</v>
      </c>
      <c r="B68" s="53"/>
      <c r="C68" s="53"/>
      <c r="D68" s="54" t="s">
        <v>1002</v>
      </c>
    </row>
    <row r="69" spans="1:4" ht="16" thickBot="1" x14ac:dyDescent="0.25">
      <c r="A69" s="56" t="s">
        <v>1003</v>
      </c>
      <c r="B69" s="49"/>
      <c r="C69" s="49"/>
      <c r="D69" s="50" t="s">
        <v>1004</v>
      </c>
    </row>
    <row r="70" spans="1:4" ht="16" thickBot="1" x14ac:dyDescent="0.25">
      <c r="A70" s="57" t="s">
        <v>1005</v>
      </c>
      <c r="B70" s="55"/>
      <c r="C70" s="55"/>
      <c r="D70" s="54" t="s">
        <v>1006</v>
      </c>
    </row>
    <row r="71" spans="1:4" ht="16" thickBot="1" x14ac:dyDescent="0.25">
      <c r="A71" s="57" t="s">
        <v>1007</v>
      </c>
      <c r="B71" s="55"/>
      <c r="C71" s="55"/>
      <c r="D71" s="54" t="s">
        <v>1008</v>
      </c>
    </row>
    <row r="72" spans="1:4" ht="29" thickBot="1" x14ac:dyDescent="0.25">
      <c r="A72" s="57" t="s">
        <v>1009</v>
      </c>
      <c r="B72" s="55"/>
      <c r="C72" s="55"/>
      <c r="D72" s="54" t="s">
        <v>1010</v>
      </c>
    </row>
    <row r="73" spans="1:4" ht="16" thickBot="1" x14ac:dyDescent="0.25">
      <c r="A73" s="57" t="s">
        <v>1011</v>
      </c>
      <c r="B73" s="55"/>
      <c r="C73" s="55"/>
      <c r="D73" s="54" t="s">
        <v>1012</v>
      </c>
    </row>
    <row r="74" spans="1:4" ht="16" thickBot="1" x14ac:dyDescent="0.25">
      <c r="A74" s="58" t="s">
        <v>1003</v>
      </c>
      <c r="B74" s="55"/>
      <c r="C74" s="55"/>
      <c r="D74" s="50" t="s">
        <v>1004</v>
      </c>
    </row>
    <row r="75" spans="1:4" ht="16" thickBot="1" x14ac:dyDescent="0.25">
      <c r="A75" s="51" t="s">
        <v>1013</v>
      </c>
      <c r="B75" s="59"/>
      <c r="C75" s="59"/>
      <c r="D75" s="50" t="s">
        <v>1014</v>
      </c>
    </row>
    <row r="76" spans="1:4" ht="29" thickBot="1" x14ac:dyDescent="0.25">
      <c r="A76" s="51" t="s">
        <v>1015</v>
      </c>
      <c r="B76" s="49"/>
      <c r="C76" s="49"/>
      <c r="D76" s="50" t="s">
        <v>1016</v>
      </c>
    </row>
    <row r="77" spans="1:4" ht="16" thickBot="1" x14ac:dyDescent="0.25">
      <c r="A77" s="52" t="s">
        <v>1017</v>
      </c>
      <c r="B77" s="53"/>
      <c r="C77" s="53"/>
      <c r="D77" s="54" t="s">
        <v>1018</v>
      </c>
    </row>
    <row r="78" spans="1:4" ht="16" thickBot="1" x14ac:dyDescent="0.25">
      <c r="A78" s="52" t="s">
        <v>1019</v>
      </c>
      <c r="B78" s="55"/>
      <c r="C78" s="55"/>
      <c r="D78" s="54" t="s">
        <v>1020</v>
      </c>
    </row>
    <row r="79" spans="1:4" ht="43" thickBot="1" x14ac:dyDescent="0.25">
      <c r="A79" s="52" t="s">
        <v>1021</v>
      </c>
      <c r="B79" s="53"/>
      <c r="C79" s="53"/>
      <c r="D79" s="54" t="s">
        <v>1022</v>
      </c>
    </row>
    <row r="80" spans="1:4" ht="43" thickBot="1" x14ac:dyDescent="0.25">
      <c r="A80" s="52" t="s">
        <v>1023</v>
      </c>
      <c r="B80" s="53"/>
      <c r="C80" s="53"/>
      <c r="D80" s="54" t="s">
        <v>1024</v>
      </c>
    </row>
    <row r="81" spans="1:4" ht="29" thickBot="1" x14ac:dyDescent="0.25">
      <c r="A81" s="51" t="s">
        <v>1025</v>
      </c>
      <c r="B81" s="59"/>
      <c r="C81" s="59"/>
      <c r="D81" s="50" t="s">
        <v>1026</v>
      </c>
    </row>
    <row r="82" spans="1:4" ht="16" thickBot="1" x14ac:dyDescent="0.25">
      <c r="A82" s="60" t="s">
        <v>1027</v>
      </c>
      <c r="B82" s="53"/>
      <c r="C82" s="53"/>
      <c r="D82" s="54" t="s">
        <v>1028</v>
      </c>
    </row>
    <row r="83" spans="1:4" ht="29" thickBot="1" x14ac:dyDescent="0.25">
      <c r="A83" s="51" t="s">
        <v>1029</v>
      </c>
      <c r="B83" s="59"/>
      <c r="C83" s="59"/>
      <c r="D83" s="50" t="s">
        <v>1030</v>
      </c>
    </row>
    <row r="84" spans="1:4" ht="16" thickBot="1" x14ac:dyDescent="0.25">
      <c r="A84" s="60" t="s">
        <v>1031</v>
      </c>
      <c r="B84" s="53"/>
      <c r="C84" s="53"/>
      <c r="D84" s="54" t="s">
        <v>1032</v>
      </c>
    </row>
    <row r="85" spans="1:4" ht="16" thickBot="1" x14ac:dyDescent="0.25">
      <c r="A85" s="51" t="s">
        <v>1033</v>
      </c>
      <c r="B85" s="59"/>
      <c r="C85" s="59"/>
      <c r="D85" s="50" t="s">
        <v>1034</v>
      </c>
    </row>
    <row r="86" spans="1:4" ht="29" thickBot="1" x14ac:dyDescent="0.25">
      <c r="A86" s="51" t="s">
        <v>1035</v>
      </c>
      <c r="B86" s="49"/>
      <c r="C86" s="49"/>
      <c r="D86" s="50" t="s">
        <v>1036</v>
      </c>
    </row>
    <row r="87" spans="1:4" ht="43" thickBot="1" x14ac:dyDescent="0.25">
      <c r="A87" s="56" t="s">
        <v>1037</v>
      </c>
      <c r="B87" s="49"/>
      <c r="C87" s="49"/>
      <c r="D87" s="50" t="s">
        <v>1038</v>
      </c>
    </row>
    <row r="88" spans="1:4" ht="43" thickBot="1" x14ac:dyDescent="0.25">
      <c r="A88" s="57" t="s">
        <v>1039</v>
      </c>
      <c r="B88" s="53"/>
      <c r="C88" s="53"/>
      <c r="D88" s="54" t="s">
        <v>1040</v>
      </c>
    </row>
    <row r="89" spans="1:4" ht="43" thickBot="1" x14ac:dyDescent="0.25">
      <c r="A89" s="57" t="s">
        <v>1041</v>
      </c>
      <c r="B89" s="53"/>
      <c r="C89" s="53"/>
      <c r="D89" s="54" t="s">
        <v>1042</v>
      </c>
    </row>
    <row r="90" spans="1:4" ht="57" thickBot="1" x14ac:dyDescent="0.25">
      <c r="A90" s="57" t="s">
        <v>1043</v>
      </c>
      <c r="B90" s="53"/>
      <c r="C90" s="53"/>
      <c r="D90" s="54" t="s">
        <v>1044</v>
      </c>
    </row>
    <row r="91" spans="1:4" ht="57" thickBot="1" x14ac:dyDescent="0.25">
      <c r="A91" s="58" t="s">
        <v>1045</v>
      </c>
      <c r="B91" s="59"/>
      <c r="C91" s="59"/>
      <c r="D91" s="50" t="s">
        <v>1046</v>
      </c>
    </row>
    <row r="92" spans="1:4" ht="43" thickBot="1" x14ac:dyDescent="0.25">
      <c r="A92" s="56" t="s">
        <v>1047</v>
      </c>
      <c r="B92" s="49"/>
      <c r="C92" s="49"/>
      <c r="D92" s="50" t="s">
        <v>1048</v>
      </c>
    </row>
    <row r="93" spans="1:4" ht="29" thickBot="1" x14ac:dyDescent="0.25">
      <c r="A93" s="57" t="s">
        <v>1049</v>
      </c>
      <c r="B93" s="53"/>
      <c r="C93" s="53"/>
      <c r="D93" s="54" t="s">
        <v>1050</v>
      </c>
    </row>
    <row r="94" spans="1:4" ht="29" thickBot="1" x14ac:dyDescent="0.25">
      <c r="A94" s="57" t="s">
        <v>1051</v>
      </c>
      <c r="B94" s="55"/>
      <c r="C94" s="55"/>
      <c r="D94" s="54" t="s">
        <v>1052</v>
      </c>
    </row>
    <row r="95" spans="1:4" ht="57" thickBot="1" x14ac:dyDescent="0.25">
      <c r="A95" s="57" t="s">
        <v>1053</v>
      </c>
      <c r="B95" s="53"/>
      <c r="C95" s="53"/>
      <c r="D95" s="54" t="s">
        <v>1054</v>
      </c>
    </row>
    <row r="96" spans="1:4" ht="57" thickBot="1" x14ac:dyDescent="0.25">
      <c r="A96" s="57" t="s">
        <v>1055</v>
      </c>
      <c r="B96" s="55"/>
      <c r="C96" s="55"/>
      <c r="D96" s="54" t="s">
        <v>1056</v>
      </c>
    </row>
    <row r="97" spans="1:4" ht="29" thickBot="1" x14ac:dyDescent="0.25">
      <c r="A97" s="57" t="s">
        <v>1057</v>
      </c>
      <c r="B97" s="53"/>
      <c r="C97" s="53"/>
      <c r="D97" s="54" t="s">
        <v>1058</v>
      </c>
    </row>
    <row r="98" spans="1:4" ht="29" thickBot="1" x14ac:dyDescent="0.25">
      <c r="A98" s="57" t="s">
        <v>1059</v>
      </c>
      <c r="B98" s="55"/>
      <c r="C98" s="55"/>
      <c r="D98" s="54" t="s">
        <v>1060</v>
      </c>
    </row>
    <row r="99" spans="1:4" ht="85" thickBot="1" x14ac:dyDescent="0.25">
      <c r="A99" s="57" t="s">
        <v>1061</v>
      </c>
      <c r="B99" s="53"/>
      <c r="C99" s="53"/>
      <c r="D99" s="54" t="s">
        <v>1062</v>
      </c>
    </row>
    <row r="100" spans="1:4" ht="43" thickBot="1" x14ac:dyDescent="0.25">
      <c r="A100" s="57" t="s">
        <v>1063</v>
      </c>
      <c r="B100" s="53"/>
      <c r="C100" s="53"/>
      <c r="D100" s="54" t="s">
        <v>1064</v>
      </c>
    </row>
    <row r="101" spans="1:4" ht="43" thickBot="1" x14ac:dyDescent="0.25">
      <c r="A101" s="57" t="s">
        <v>1065</v>
      </c>
      <c r="B101" s="55"/>
      <c r="C101" s="55"/>
      <c r="D101" s="54" t="s">
        <v>1066</v>
      </c>
    </row>
    <row r="102" spans="1:4" ht="57" thickBot="1" x14ac:dyDescent="0.25">
      <c r="A102" s="57" t="s">
        <v>1067</v>
      </c>
      <c r="B102" s="53"/>
      <c r="C102" s="53"/>
      <c r="D102" s="54" t="s">
        <v>1068</v>
      </c>
    </row>
    <row r="103" spans="1:4" ht="57" thickBot="1" x14ac:dyDescent="0.25">
      <c r="A103" s="57" t="s">
        <v>1069</v>
      </c>
      <c r="B103" s="53"/>
      <c r="C103" s="53"/>
      <c r="D103" s="54" t="s">
        <v>1070</v>
      </c>
    </row>
    <row r="104" spans="1:4" ht="57" thickBot="1" x14ac:dyDescent="0.25">
      <c r="A104" s="57" t="s">
        <v>1071</v>
      </c>
      <c r="B104" s="53"/>
      <c r="C104" s="53"/>
      <c r="D104" s="54" t="s">
        <v>1072</v>
      </c>
    </row>
    <row r="105" spans="1:4" ht="43" thickBot="1" x14ac:dyDescent="0.25">
      <c r="A105" s="58" t="s">
        <v>1073</v>
      </c>
      <c r="B105" s="59"/>
      <c r="C105" s="59"/>
      <c r="D105" s="50" t="s">
        <v>1074</v>
      </c>
    </row>
    <row r="106" spans="1:4" ht="29" thickBot="1" x14ac:dyDescent="0.25">
      <c r="A106" s="56" t="s">
        <v>1075</v>
      </c>
      <c r="B106" s="59"/>
      <c r="C106" s="59"/>
      <c r="D106" s="50" t="s">
        <v>1076</v>
      </c>
    </row>
    <row r="107" spans="1:4" ht="16" thickBot="1" x14ac:dyDescent="0.25">
      <c r="A107" s="51" t="s">
        <v>1077</v>
      </c>
      <c r="B107" s="59"/>
      <c r="C107" s="59"/>
      <c r="D107" s="50" t="s">
        <v>1078</v>
      </c>
    </row>
    <row r="108" spans="1:4" ht="16" thickBot="1" x14ac:dyDescent="0.25">
      <c r="A108" s="51" t="s">
        <v>1079</v>
      </c>
      <c r="B108" s="49"/>
      <c r="C108" s="49"/>
      <c r="D108" s="50" t="s">
        <v>1080</v>
      </c>
    </row>
    <row r="109" spans="1:4" ht="29" thickBot="1" x14ac:dyDescent="0.25">
      <c r="A109" s="52" t="s">
        <v>1081</v>
      </c>
      <c r="B109" s="53"/>
      <c r="C109" s="53"/>
      <c r="D109" s="54" t="s">
        <v>1082</v>
      </c>
    </row>
    <row r="110" spans="1:4" ht="29" thickBot="1" x14ac:dyDescent="0.25">
      <c r="A110" s="52" t="s">
        <v>1083</v>
      </c>
      <c r="B110" s="53"/>
      <c r="C110" s="53"/>
      <c r="D110" s="54" t="s">
        <v>1084</v>
      </c>
    </row>
    <row r="111" spans="1:4" ht="29" thickBot="1" x14ac:dyDescent="0.25">
      <c r="A111" s="51" t="s">
        <v>1085</v>
      </c>
      <c r="B111" s="49"/>
      <c r="C111" s="49"/>
      <c r="D111" s="50" t="s">
        <v>1086</v>
      </c>
    </row>
    <row r="112" spans="1:4" ht="29" thickBot="1" x14ac:dyDescent="0.25">
      <c r="A112" s="52" t="s">
        <v>1087</v>
      </c>
      <c r="B112" s="53"/>
      <c r="C112" s="53"/>
      <c r="D112" s="54" t="s">
        <v>1088</v>
      </c>
    </row>
    <row r="113" spans="1:4" ht="43" thickBot="1" x14ac:dyDescent="0.25">
      <c r="A113" s="52" t="s">
        <v>1089</v>
      </c>
      <c r="B113" s="53"/>
      <c r="C113" s="53"/>
      <c r="D113" s="54" t="s">
        <v>1090</v>
      </c>
    </row>
    <row r="114" spans="1:4" ht="16" thickBot="1" x14ac:dyDescent="0.25">
      <c r="A114" s="51" t="s">
        <v>1091</v>
      </c>
      <c r="B114" s="49"/>
      <c r="C114" s="49"/>
      <c r="D114" s="50" t="s">
        <v>1092</v>
      </c>
    </row>
    <row r="115" spans="1:4" ht="29" thickBot="1" x14ac:dyDescent="0.25">
      <c r="A115" s="56" t="s">
        <v>1093</v>
      </c>
      <c r="B115" s="49"/>
      <c r="C115" s="49"/>
      <c r="D115" s="50" t="s">
        <v>1094</v>
      </c>
    </row>
    <row r="116" spans="1:4" ht="29" thickBot="1" x14ac:dyDescent="0.25">
      <c r="A116" s="57" t="s">
        <v>1095</v>
      </c>
      <c r="B116" s="61"/>
      <c r="C116" s="61"/>
      <c r="D116" s="54" t="s">
        <v>1096</v>
      </c>
    </row>
    <row r="117" spans="1:4" ht="29" thickBot="1" x14ac:dyDescent="0.25">
      <c r="A117" s="57" t="s">
        <v>1097</v>
      </c>
      <c r="B117" s="61"/>
      <c r="C117" s="61"/>
      <c r="D117" s="54" t="s">
        <v>1098</v>
      </c>
    </row>
    <row r="118" spans="1:4" ht="16" thickBot="1" x14ac:dyDescent="0.25">
      <c r="A118" s="56" t="s">
        <v>1099</v>
      </c>
      <c r="B118" s="49"/>
      <c r="C118" s="49"/>
      <c r="D118" s="50" t="s">
        <v>1100</v>
      </c>
    </row>
    <row r="119" spans="1:4" ht="29" thickBot="1" x14ac:dyDescent="0.25">
      <c r="A119" s="57" t="s">
        <v>1101</v>
      </c>
      <c r="B119" s="61"/>
      <c r="C119" s="61"/>
      <c r="D119" s="54" t="s">
        <v>1102</v>
      </c>
    </row>
    <row r="120" spans="1:4" ht="29" thickBot="1" x14ac:dyDescent="0.25">
      <c r="A120" s="57" t="s">
        <v>1103</v>
      </c>
      <c r="B120" s="61"/>
      <c r="C120" s="61"/>
      <c r="D120" s="5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baseColWidth="10" defaultColWidth="9.3984375" defaultRowHeight="15" x14ac:dyDescent="0.2"/>
  <cols>
    <col min="1" max="1" width="42.59765625" style="62" bestFit="1" customWidth="1" collapsed="1"/>
    <col min="2" max="3" width="33.3984375" style="62" customWidth="1" collapsed="1"/>
    <col min="4" max="4" width="42.59765625" style="62" bestFit="1" customWidth="1" collapsed="1"/>
    <col min="5" max="16384" width="9.3984375" style="62" collapsed="1"/>
  </cols>
  <sheetData>
    <row r="1" spans="1:4" ht="34.5" customHeight="1" x14ac:dyDescent="0.2">
      <c r="A1" s="555" t="s">
        <v>1105</v>
      </c>
      <c r="B1" s="556"/>
      <c r="C1" s="556"/>
      <c r="D1" s="556"/>
    </row>
    <row r="3" spans="1:4" ht="34.5" customHeight="1" x14ac:dyDescent="0.2">
      <c r="A3" s="555" t="s">
        <v>877</v>
      </c>
      <c r="B3" s="555"/>
      <c r="C3" s="557" t="s">
        <v>878</v>
      </c>
      <c r="D3" s="557"/>
    </row>
    <row r="4" spans="1:4" x14ac:dyDescent="0.2">
      <c r="A4" s="63"/>
      <c r="B4" s="64" t="s">
        <v>102</v>
      </c>
      <c r="C4" s="64" t="s">
        <v>105</v>
      </c>
    </row>
    <row r="5" spans="1:4" ht="29" thickBot="1" x14ac:dyDescent="0.25">
      <c r="A5" s="65" t="s">
        <v>877</v>
      </c>
      <c r="B5" s="66"/>
      <c r="C5" s="66"/>
      <c r="D5" s="67" t="s">
        <v>878</v>
      </c>
    </row>
    <row r="6" spans="1:4" ht="16" thickBot="1" x14ac:dyDescent="0.25">
      <c r="A6" s="68" t="s">
        <v>879</v>
      </c>
      <c r="B6" s="66"/>
      <c r="C6" s="66"/>
      <c r="D6" s="67" t="s">
        <v>880</v>
      </c>
    </row>
    <row r="7" spans="1:4" ht="16" thickBot="1" x14ac:dyDescent="0.25">
      <c r="A7" s="69" t="s">
        <v>881</v>
      </c>
      <c r="B7" s="70">
        <v>98912652</v>
      </c>
      <c r="C7" s="70">
        <v>94796454</v>
      </c>
      <c r="D7" s="71" t="s">
        <v>882</v>
      </c>
    </row>
    <row r="8" spans="1:4" ht="16" thickBot="1" x14ac:dyDescent="0.25">
      <c r="A8" s="69" t="s">
        <v>883</v>
      </c>
      <c r="B8" s="72">
        <v>13364495</v>
      </c>
      <c r="C8" s="72">
        <v>12532290</v>
      </c>
      <c r="D8" s="71" t="s">
        <v>884</v>
      </c>
    </row>
    <row r="9" spans="1:4" ht="29" thickBot="1" x14ac:dyDescent="0.25">
      <c r="A9" s="69" t="s">
        <v>885</v>
      </c>
      <c r="B9" s="70">
        <v>0</v>
      </c>
      <c r="C9" s="70">
        <v>0</v>
      </c>
      <c r="D9" s="71" t="s">
        <v>886</v>
      </c>
    </row>
    <row r="10" spans="1:4" ht="29" thickBot="1" x14ac:dyDescent="0.25">
      <c r="A10" s="69" t="s">
        <v>887</v>
      </c>
      <c r="B10" s="70">
        <v>0</v>
      </c>
      <c r="C10" s="70">
        <v>0</v>
      </c>
      <c r="D10" s="71" t="s">
        <v>888</v>
      </c>
    </row>
    <row r="11" spans="1:4" ht="16" thickBot="1" x14ac:dyDescent="0.25">
      <c r="A11" s="73" t="s">
        <v>889</v>
      </c>
      <c r="B11" s="66"/>
      <c r="C11" s="66"/>
      <c r="D11" s="67" t="s">
        <v>890</v>
      </c>
    </row>
    <row r="12" spans="1:4" ht="16" thickBot="1" x14ac:dyDescent="0.25">
      <c r="A12" s="74" t="s">
        <v>891</v>
      </c>
      <c r="B12" s="70">
        <v>2003240</v>
      </c>
      <c r="C12" s="70">
        <v>3110733</v>
      </c>
      <c r="D12" s="71" t="s">
        <v>892</v>
      </c>
    </row>
    <row r="13" spans="1:4" ht="16" thickBot="1" x14ac:dyDescent="0.25">
      <c r="A13" s="74" t="s">
        <v>893</v>
      </c>
      <c r="B13" s="72">
        <v>0</v>
      </c>
      <c r="C13" s="72">
        <v>0</v>
      </c>
      <c r="D13" s="71" t="s">
        <v>894</v>
      </c>
    </row>
    <row r="14" spans="1:4" ht="16" thickBot="1" x14ac:dyDescent="0.25">
      <c r="A14" s="74" t="s">
        <v>895</v>
      </c>
      <c r="B14" s="72">
        <v>0</v>
      </c>
      <c r="C14" s="72">
        <v>0</v>
      </c>
      <c r="D14" s="71" t="s">
        <v>896</v>
      </c>
    </row>
    <row r="15" spans="1:4" ht="29" thickBot="1" x14ac:dyDescent="0.25">
      <c r="A15" s="74" t="s">
        <v>897</v>
      </c>
      <c r="B15" s="70">
        <v>0</v>
      </c>
      <c r="C15" s="70">
        <v>0</v>
      </c>
      <c r="D15" s="71" t="s">
        <v>898</v>
      </c>
    </row>
    <row r="16" spans="1:4" ht="29" thickBot="1" x14ac:dyDescent="0.25">
      <c r="A16" s="74" t="s">
        <v>899</v>
      </c>
      <c r="B16" s="72">
        <v>0</v>
      </c>
      <c r="C16" s="72">
        <v>0</v>
      </c>
      <c r="D16" s="71" t="s">
        <v>900</v>
      </c>
    </row>
    <row r="17" spans="1:4" ht="16" thickBot="1" x14ac:dyDescent="0.25">
      <c r="A17" s="74" t="s">
        <v>901</v>
      </c>
      <c r="B17" s="70">
        <v>0</v>
      </c>
      <c r="C17" s="70">
        <v>0</v>
      </c>
      <c r="D17" s="71" t="s">
        <v>902</v>
      </c>
    </row>
    <row r="18" spans="1:4" ht="16" thickBot="1" x14ac:dyDescent="0.25">
      <c r="A18" s="74" t="s">
        <v>903</v>
      </c>
      <c r="B18" s="70">
        <v>0</v>
      </c>
      <c r="C18" s="70">
        <v>0</v>
      </c>
      <c r="D18" s="71" t="s">
        <v>904</v>
      </c>
    </row>
    <row r="19" spans="1:4" ht="16" thickBot="1" x14ac:dyDescent="0.25">
      <c r="A19" s="74" t="s">
        <v>905</v>
      </c>
      <c r="B19" s="70">
        <v>0</v>
      </c>
      <c r="C19" s="70">
        <v>0</v>
      </c>
      <c r="D19" s="71" t="s">
        <v>906</v>
      </c>
    </row>
    <row r="20" spans="1:4" ht="16" thickBot="1" x14ac:dyDescent="0.25">
      <c r="A20" s="74" t="s">
        <v>907</v>
      </c>
      <c r="B20" s="70">
        <v>0</v>
      </c>
      <c r="C20" s="70">
        <v>0</v>
      </c>
      <c r="D20" s="71" t="s">
        <v>908</v>
      </c>
    </row>
    <row r="21" spans="1:4" ht="16" thickBot="1" x14ac:dyDescent="0.25">
      <c r="A21" s="73" t="s">
        <v>909</v>
      </c>
      <c r="B21" s="66"/>
      <c r="C21" s="66"/>
      <c r="D21" s="67" t="s">
        <v>910</v>
      </c>
    </row>
    <row r="22" spans="1:4" ht="16" thickBot="1" x14ac:dyDescent="0.25">
      <c r="A22" s="74" t="s">
        <v>911</v>
      </c>
      <c r="B22" s="72">
        <v>0</v>
      </c>
      <c r="C22" s="72">
        <v>0</v>
      </c>
      <c r="D22" s="71" t="s">
        <v>912</v>
      </c>
    </row>
    <row r="23" spans="1:4" ht="16" thickBot="1" x14ac:dyDescent="0.25">
      <c r="A23" s="74" t="s">
        <v>913</v>
      </c>
      <c r="B23" s="70">
        <v>0</v>
      </c>
      <c r="C23" s="70">
        <v>0</v>
      </c>
      <c r="D23" s="71" t="s">
        <v>914</v>
      </c>
    </row>
    <row r="24" spans="1:4" ht="16" thickBot="1" x14ac:dyDescent="0.25">
      <c r="A24" s="74" t="s">
        <v>915</v>
      </c>
      <c r="B24" s="70">
        <v>0</v>
      </c>
      <c r="C24" s="70">
        <v>0</v>
      </c>
      <c r="D24" s="71" t="s">
        <v>916</v>
      </c>
    </row>
    <row r="25" spans="1:4" ht="29" thickBot="1" x14ac:dyDescent="0.25">
      <c r="A25" s="74" t="s">
        <v>917</v>
      </c>
      <c r="B25" s="72">
        <v>0</v>
      </c>
      <c r="C25" s="72">
        <v>0</v>
      </c>
      <c r="D25" s="71" t="s">
        <v>918</v>
      </c>
    </row>
    <row r="26" spans="1:4" ht="29" thickBot="1" x14ac:dyDescent="0.25">
      <c r="A26" s="74" t="s">
        <v>919</v>
      </c>
      <c r="B26" s="72">
        <v>0</v>
      </c>
      <c r="C26" s="72">
        <v>0</v>
      </c>
      <c r="D26" s="71" t="s">
        <v>920</v>
      </c>
    </row>
    <row r="27" spans="1:4" ht="29" thickBot="1" x14ac:dyDescent="0.25">
      <c r="A27" s="74" t="s">
        <v>921</v>
      </c>
      <c r="B27" s="72">
        <v>0</v>
      </c>
      <c r="C27" s="72">
        <v>0</v>
      </c>
      <c r="D27" s="71" t="s">
        <v>922</v>
      </c>
    </row>
    <row r="28" spans="1:4" ht="43" thickBot="1" x14ac:dyDescent="0.25">
      <c r="A28" s="74" t="s">
        <v>923</v>
      </c>
      <c r="B28" s="70">
        <v>0</v>
      </c>
      <c r="C28" s="70">
        <v>0</v>
      </c>
      <c r="D28" s="71" t="s">
        <v>924</v>
      </c>
    </row>
    <row r="29" spans="1:4" ht="43" thickBot="1" x14ac:dyDescent="0.25">
      <c r="A29" s="74" t="s">
        <v>925</v>
      </c>
      <c r="B29" s="72">
        <v>0</v>
      </c>
      <c r="C29" s="72">
        <v>0</v>
      </c>
      <c r="D29" s="71" t="s">
        <v>926</v>
      </c>
    </row>
    <row r="30" spans="1:4" ht="16" thickBot="1" x14ac:dyDescent="0.25">
      <c r="A30" s="74" t="s">
        <v>927</v>
      </c>
      <c r="B30" s="72">
        <v>0</v>
      </c>
      <c r="C30" s="72">
        <v>0</v>
      </c>
      <c r="D30" s="71" t="s">
        <v>928</v>
      </c>
    </row>
    <row r="31" spans="1:4" ht="16" thickBot="1" x14ac:dyDescent="0.25">
      <c r="A31" s="74" t="s">
        <v>929</v>
      </c>
      <c r="B31" s="72">
        <v>0</v>
      </c>
      <c r="C31" s="72">
        <v>0</v>
      </c>
      <c r="D31" s="71" t="s">
        <v>930</v>
      </c>
    </row>
    <row r="32" spans="1:4" ht="16" thickBot="1" x14ac:dyDescent="0.25">
      <c r="A32" s="74" t="s">
        <v>931</v>
      </c>
      <c r="B32" s="72">
        <v>0</v>
      </c>
      <c r="C32" s="72">
        <v>0</v>
      </c>
      <c r="D32" s="71" t="s">
        <v>932</v>
      </c>
    </row>
    <row r="33" spans="1:4" ht="16" thickBot="1" x14ac:dyDescent="0.25">
      <c r="A33" s="74" t="s">
        <v>933</v>
      </c>
      <c r="B33" s="72">
        <v>1858302</v>
      </c>
      <c r="C33" s="72">
        <v>1753761</v>
      </c>
      <c r="D33" s="71" t="s">
        <v>934</v>
      </c>
    </row>
    <row r="34" spans="1:4" ht="16" thickBot="1" x14ac:dyDescent="0.25">
      <c r="A34" s="73" t="s">
        <v>935</v>
      </c>
      <c r="B34" s="66"/>
      <c r="C34" s="66"/>
      <c r="D34" s="67" t="s">
        <v>936</v>
      </c>
    </row>
    <row r="35" spans="1:4" ht="29" thickBot="1" x14ac:dyDescent="0.25">
      <c r="A35" s="74" t="s">
        <v>937</v>
      </c>
      <c r="B35" s="70"/>
      <c r="C35" s="70"/>
      <c r="D35" s="71" t="s">
        <v>938</v>
      </c>
    </row>
    <row r="36" spans="1:4" ht="16" thickBot="1" x14ac:dyDescent="0.25">
      <c r="A36" s="74" t="s">
        <v>939</v>
      </c>
      <c r="B36" s="70"/>
      <c r="C36" s="70"/>
      <c r="D36" s="71" t="s">
        <v>940</v>
      </c>
    </row>
    <row r="37" spans="1:4" ht="16" thickBot="1" x14ac:dyDescent="0.25">
      <c r="A37" s="74" t="s">
        <v>941</v>
      </c>
      <c r="B37" s="70"/>
      <c r="C37" s="70"/>
      <c r="D37" s="71" t="s">
        <v>942</v>
      </c>
    </row>
    <row r="38" spans="1:4" ht="16" thickBot="1" x14ac:dyDescent="0.25">
      <c r="A38" s="74" t="s">
        <v>943</v>
      </c>
      <c r="B38" s="70"/>
      <c r="C38" s="70"/>
      <c r="D38" s="71" t="s">
        <v>944</v>
      </c>
    </row>
    <row r="39" spans="1:4" ht="16" thickBot="1" x14ac:dyDescent="0.25">
      <c r="A39" s="73" t="s">
        <v>945</v>
      </c>
      <c r="B39" s="66"/>
      <c r="C39" s="66"/>
      <c r="D39" s="67" t="s">
        <v>946</v>
      </c>
    </row>
    <row r="40" spans="1:4" ht="29" thickBot="1" x14ac:dyDescent="0.25">
      <c r="A40" s="74" t="s">
        <v>947</v>
      </c>
      <c r="B40" s="70"/>
      <c r="C40" s="70"/>
      <c r="D40" s="71" t="s">
        <v>948</v>
      </c>
    </row>
    <row r="41" spans="1:4" ht="29" thickBot="1" x14ac:dyDescent="0.25">
      <c r="A41" s="74" t="s">
        <v>949</v>
      </c>
      <c r="B41" s="70"/>
      <c r="C41" s="70"/>
      <c r="D41" s="71" t="s">
        <v>950</v>
      </c>
    </row>
    <row r="42" spans="1:4" ht="29" thickBot="1" x14ac:dyDescent="0.25">
      <c r="A42" s="74" t="s">
        <v>951</v>
      </c>
      <c r="B42" s="70"/>
      <c r="C42" s="70"/>
      <c r="D42" s="71" t="s">
        <v>952</v>
      </c>
    </row>
    <row r="43" spans="1:4" ht="29" thickBot="1" x14ac:dyDescent="0.25">
      <c r="A43" s="74" t="s">
        <v>953</v>
      </c>
      <c r="B43" s="70"/>
      <c r="C43" s="70"/>
      <c r="D43" s="71" t="s">
        <v>954</v>
      </c>
    </row>
    <row r="44" spans="1:4" ht="29" thickBot="1" x14ac:dyDescent="0.25">
      <c r="A44" s="74" t="s">
        <v>955</v>
      </c>
      <c r="B44" s="70"/>
      <c r="C44" s="70"/>
      <c r="D44" s="71" t="s">
        <v>956</v>
      </c>
    </row>
    <row r="45" spans="1:4" ht="43" thickBot="1" x14ac:dyDescent="0.25">
      <c r="A45" s="74" t="s">
        <v>957</v>
      </c>
      <c r="B45" s="70"/>
      <c r="C45" s="70"/>
      <c r="D45" s="71" t="s">
        <v>958</v>
      </c>
    </row>
    <row r="46" spans="1:4" ht="29" thickBot="1" x14ac:dyDescent="0.25">
      <c r="A46" s="74" t="s">
        <v>959</v>
      </c>
      <c r="B46" s="70"/>
      <c r="C46" s="70"/>
      <c r="D46" s="71" t="s">
        <v>960</v>
      </c>
    </row>
    <row r="47" spans="1:4" ht="16" thickBot="1" x14ac:dyDescent="0.25">
      <c r="A47" s="73" t="s">
        <v>961</v>
      </c>
      <c r="B47" s="66"/>
      <c r="C47" s="66"/>
      <c r="D47" s="67" t="s">
        <v>962</v>
      </c>
    </row>
    <row r="48" spans="1:4" ht="16" thickBot="1" x14ac:dyDescent="0.25">
      <c r="A48" s="74" t="s">
        <v>963</v>
      </c>
      <c r="B48" s="70">
        <v>0</v>
      </c>
      <c r="C48" s="70">
        <v>0</v>
      </c>
      <c r="D48" s="71" t="s">
        <v>964</v>
      </c>
    </row>
    <row r="49" spans="1:4" ht="29" thickBot="1" x14ac:dyDescent="0.25">
      <c r="A49" s="74" t="s">
        <v>965</v>
      </c>
      <c r="B49" s="70">
        <v>0</v>
      </c>
      <c r="C49" s="70">
        <v>0</v>
      </c>
      <c r="D49" s="71" t="s">
        <v>966</v>
      </c>
    </row>
    <row r="50" spans="1:4" ht="16" thickBot="1" x14ac:dyDescent="0.25">
      <c r="A50" s="74" t="s">
        <v>967</v>
      </c>
      <c r="B50" s="70">
        <v>2769433</v>
      </c>
      <c r="C50" s="70">
        <v>1837321</v>
      </c>
      <c r="D50" s="71" t="s">
        <v>968</v>
      </c>
    </row>
    <row r="51" spans="1:4" ht="16" thickBot="1" x14ac:dyDescent="0.25">
      <c r="A51" s="74" t="s">
        <v>969</v>
      </c>
      <c r="B51" s="70">
        <v>107764</v>
      </c>
      <c r="C51" s="70">
        <v>38095</v>
      </c>
      <c r="D51" s="71" t="s">
        <v>970</v>
      </c>
    </row>
    <row r="52" spans="1:4" ht="29" thickBot="1" x14ac:dyDescent="0.25">
      <c r="A52" s="74" t="s">
        <v>971</v>
      </c>
      <c r="B52" s="70">
        <v>1237711</v>
      </c>
      <c r="C52" s="70">
        <v>1017208</v>
      </c>
      <c r="D52" s="71" t="s">
        <v>972</v>
      </c>
    </row>
    <row r="53" spans="1:4" ht="29" thickBot="1" x14ac:dyDescent="0.25">
      <c r="A53" s="74" t="s">
        <v>973</v>
      </c>
      <c r="B53" s="70">
        <v>0</v>
      </c>
      <c r="C53" s="70">
        <v>0</v>
      </c>
      <c r="D53" s="71" t="s">
        <v>974</v>
      </c>
    </row>
    <row r="54" spans="1:4" ht="29" thickBot="1" x14ac:dyDescent="0.25">
      <c r="A54" s="74" t="s">
        <v>975</v>
      </c>
      <c r="B54" s="70">
        <v>0</v>
      </c>
      <c r="C54" s="70">
        <v>0</v>
      </c>
      <c r="D54" s="71" t="s">
        <v>976</v>
      </c>
    </row>
    <row r="55" spans="1:4" ht="29" thickBot="1" x14ac:dyDescent="0.25">
      <c r="A55" s="74" t="s">
        <v>977</v>
      </c>
      <c r="B55" s="70">
        <v>0</v>
      </c>
      <c r="C55" s="70">
        <v>0</v>
      </c>
      <c r="D55" s="71" t="s">
        <v>978</v>
      </c>
    </row>
    <row r="56" spans="1:4" ht="29" thickBot="1" x14ac:dyDescent="0.25">
      <c r="A56" s="74" t="s">
        <v>979</v>
      </c>
      <c r="B56" s="70">
        <v>0</v>
      </c>
      <c r="C56" s="70">
        <v>0</v>
      </c>
      <c r="D56" s="71" t="s">
        <v>980</v>
      </c>
    </row>
    <row r="57" spans="1:4" ht="16" thickBot="1" x14ac:dyDescent="0.25">
      <c r="A57" s="74" t="s">
        <v>961</v>
      </c>
      <c r="B57" s="70">
        <v>22198323</v>
      </c>
      <c r="C57" s="70">
        <v>20039022</v>
      </c>
      <c r="D57" s="71" t="s">
        <v>962</v>
      </c>
    </row>
    <row r="58" spans="1:4" ht="29" thickBot="1" x14ac:dyDescent="0.25">
      <c r="A58" s="73" t="s">
        <v>981</v>
      </c>
      <c r="B58" s="66"/>
      <c r="C58" s="66"/>
      <c r="D58" s="67" t="s">
        <v>982</v>
      </c>
    </row>
    <row r="59" spans="1:4" ht="29" thickBot="1" x14ac:dyDescent="0.25">
      <c r="A59" s="74" t="s">
        <v>983</v>
      </c>
      <c r="B59" s="70">
        <v>-4011047</v>
      </c>
      <c r="C59" s="70">
        <v>-2034453</v>
      </c>
      <c r="D59" s="71" t="s">
        <v>984</v>
      </c>
    </row>
    <row r="60" spans="1:4" ht="43" thickBot="1" x14ac:dyDescent="0.25">
      <c r="A60" s="74" t="s">
        <v>985</v>
      </c>
      <c r="B60" s="70">
        <v>0</v>
      </c>
      <c r="C60" s="70">
        <v>0</v>
      </c>
      <c r="D60" s="71" t="s">
        <v>986</v>
      </c>
    </row>
    <row r="61" spans="1:4" ht="43" thickBot="1" x14ac:dyDescent="0.25">
      <c r="A61" s="74" t="s">
        <v>987</v>
      </c>
      <c r="B61" s="70">
        <v>0</v>
      </c>
      <c r="C61" s="70">
        <v>0</v>
      </c>
      <c r="D61" s="71" t="s">
        <v>988</v>
      </c>
    </row>
    <row r="62" spans="1:4" ht="29" thickBot="1" x14ac:dyDescent="0.25">
      <c r="A62" s="74" t="s">
        <v>989</v>
      </c>
      <c r="B62" s="70">
        <v>0</v>
      </c>
      <c r="C62" s="70">
        <v>0</v>
      </c>
      <c r="D62" s="71" t="s">
        <v>990</v>
      </c>
    </row>
    <row r="63" spans="1:4" ht="43" thickBot="1" x14ac:dyDescent="0.25">
      <c r="A63" s="74" t="s">
        <v>991</v>
      </c>
      <c r="B63" s="70">
        <v>0</v>
      </c>
      <c r="C63" s="70">
        <v>0</v>
      </c>
      <c r="D63" s="71" t="s">
        <v>992</v>
      </c>
    </row>
    <row r="64" spans="1:4" ht="43" thickBot="1" x14ac:dyDescent="0.25">
      <c r="A64" s="74" t="s">
        <v>993</v>
      </c>
      <c r="B64" s="70">
        <v>0</v>
      </c>
      <c r="C64" s="70">
        <v>0</v>
      </c>
      <c r="D64" s="71" t="s">
        <v>994</v>
      </c>
    </row>
    <row r="65" spans="1:4" ht="29" thickBot="1" x14ac:dyDescent="0.25">
      <c r="A65" s="73" t="s">
        <v>995</v>
      </c>
      <c r="B65" s="66"/>
      <c r="C65" s="66"/>
      <c r="D65" s="67" t="s">
        <v>996</v>
      </c>
    </row>
    <row r="66" spans="1:4" ht="29" thickBot="1" x14ac:dyDescent="0.25">
      <c r="A66" s="74" t="s">
        <v>997</v>
      </c>
      <c r="B66" s="72"/>
      <c r="C66" s="72">
        <v>0</v>
      </c>
      <c r="D66" s="71" t="s">
        <v>998</v>
      </c>
    </row>
    <row r="67" spans="1:4" ht="29" thickBot="1" x14ac:dyDescent="0.25">
      <c r="A67" s="74" t="s">
        <v>999</v>
      </c>
      <c r="B67" s="72"/>
      <c r="C67" s="72">
        <v>0</v>
      </c>
      <c r="D67" s="71" t="s">
        <v>1000</v>
      </c>
    </row>
    <row r="68" spans="1:4" ht="29" thickBot="1" x14ac:dyDescent="0.25">
      <c r="A68" s="69" t="s">
        <v>1001</v>
      </c>
      <c r="B68" s="70"/>
      <c r="C68" s="70"/>
      <c r="D68" s="71" t="s">
        <v>1002</v>
      </c>
    </row>
    <row r="69" spans="1:4" ht="16" thickBot="1" x14ac:dyDescent="0.25">
      <c r="A69" s="73" t="s">
        <v>1003</v>
      </c>
      <c r="B69" s="66"/>
      <c r="C69" s="66"/>
      <c r="D69" s="67" t="s">
        <v>1004</v>
      </c>
    </row>
    <row r="70" spans="1:4" ht="16" thickBot="1" x14ac:dyDescent="0.25">
      <c r="A70" s="74" t="s">
        <v>1005</v>
      </c>
      <c r="B70" s="72">
        <v>16780115</v>
      </c>
      <c r="C70" s="72">
        <v>16874142</v>
      </c>
      <c r="D70" s="71" t="s">
        <v>1006</v>
      </c>
    </row>
    <row r="71" spans="1:4" ht="16" thickBot="1" x14ac:dyDescent="0.25">
      <c r="A71" s="74" t="s">
        <v>1007</v>
      </c>
      <c r="B71" s="72">
        <v>0</v>
      </c>
      <c r="C71" s="72">
        <v>0</v>
      </c>
      <c r="D71" s="71" t="s">
        <v>1008</v>
      </c>
    </row>
    <row r="72" spans="1:4" ht="29" thickBot="1" x14ac:dyDescent="0.25">
      <c r="A72" s="74" t="s">
        <v>1009</v>
      </c>
      <c r="B72" s="72">
        <v>0</v>
      </c>
      <c r="C72" s="72">
        <v>0</v>
      </c>
      <c r="D72" s="71" t="s">
        <v>1010</v>
      </c>
    </row>
    <row r="73" spans="1:4" ht="16" thickBot="1" x14ac:dyDescent="0.25">
      <c r="A73" s="74" t="s">
        <v>1011</v>
      </c>
      <c r="B73" s="72">
        <v>0</v>
      </c>
      <c r="C73" s="72">
        <v>2</v>
      </c>
      <c r="D73" s="71" t="s">
        <v>1012</v>
      </c>
    </row>
    <row r="74" spans="1:4" ht="16" thickBot="1" x14ac:dyDescent="0.25">
      <c r="A74" s="75" t="s">
        <v>1003</v>
      </c>
      <c r="B74" s="72">
        <v>19954288</v>
      </c>
      <c r="C74" s="72">
        <v>19426335</v>
      </c>
      <c r="D74" s="67" t="s">
        <v>1004</v>
      </c>
    </row>
    <row r="75" spans="1:4" ht="16" thickBot="1" x14ac:dyDescent="0.25">
      <c r="A75" s="68" t="s">
        <v>1013</v>
      </c>
      <c r="B75" s="76">
        <v>71260876</v>
      </c>
      <c r="C75" s="76">
        <v>68217850</v>
      </c>
      <c r="D75" s="67" t="s">
        <v>1014</v>
      </c>
    </row>
    <row r="76" spans="1:4" ht="29" thickBot="1" x14ac:dyDescent="0.25">
      <c r="A76" s="68" t="s">
        <v>1015</v>
      </c>
      <c r="B76" s="66"/>
      <c r="C76" s="66"/>
      <c r="D76" s="67" t="s">
        <v>1016</v>
      </c>
    </row>
    <row r="77" spans="1:4" ht="16" thickBot="1" x14ac:dyDescent="0.25">
      <c r="A77" s="69" t="s">
        <v>1017</v>
      </c>
      <c r="B77" s="70">
        <v>0</v>
      </c>
      <c r="C77" s="70">
        <v>0</v>
      </c>
      <c r="D77" s="71" t="s">
        <v>1018</v>
      </c>
    </row>
    <row r="78" spans="1:4" ht="16" thickBot="1" x14ac:dyDescent="0.25">
      <c r="A78" s="69" t="s">
        <v>1019</v>
      </c>
      <c r="B78" s="72">
        <v>0</v>
      </c>
      <c r="C78" s="72">
        <v>0</v>
      </c>
      <c r="D78" s="71" t="s">
        <v>1020</v>
      </c>
    </row>
    <row r="79" spans="1:4" ht="43" thickBot="1" x14ac:dyDescent="0.25">
      <c r="A79" s="69" t="s">
        <v>1021</v>
      </c>
      <c r="B79" s="70">
        <v>0</v>
      </c>
      <c r="C79" s="70">
        <v>0</v>
      </c>
      <c r="D79" s="71" t="s">
        <v>1022</v>
      </c>
    </row>
    <row r="80" spans="1:4" ht="43" thickBot="1" x14ac:dyDescent="0.25">
      <c r="A80" s="69" t="s">
        <v>1023</v>
      </c>
      <c r="B80" s="70">
        <v>0</v>
      </c>
      <c r="C80" s="70">
        <v>0</v>
      </c>
      <c r="D80" s="71" t="s">
        <v>1024</v>
      </c>
    </row>
    <row r="81" spans="1:4" ht="29" thickBot="1" x14ac:dyDescent="0.25">
      <c r="A81" s="68" t="s">
        <v>1025</v>
      </c>
      <c r="B81" s="76">
        <v>71260876</v>
      </c>
      <c r="C81" s="76">
        <v>68217850</v>
      </c>
      <c r="D81" s="67" t="s">
        <v>1026</v>
      </c>
    </row>
    <row r="82" spans="1:4" ht="16" thickBot="1" x14ac:dyDescent="0.25">
      <c r="A82" s="77" t="s">
        <v>1027</v>
      </c>
      <c r="B82" s="70">
        <v>-13697783</v>
      </c>
      <c r="C82" s="70">
        <v>-13366576</v>
      </c>
      <c r="D82" s="71" t="s">
        <v>1028</v>
      </c>
    </row>
    <row r="83" spans="1:4" ht="29" thickBot="1" x14ac:dyDescent="0.25">
      <c r="A83" s="68" t="s">
        <v>1029</v>
      </c>
      <c r="B83" s="76">
        <v>57563093</v>
      </c>
      <c r="C83" s="76">
        <v>54851274</v>
      </c>
      <c r="D83" s="67" t="s">
        <v>1030</v>
      </c>
    </row>
    <row r="84" spans="1:4" ht="16" thickBot="1" x14ac:dyDescent="0.25">
      <c r="A84" s="77" t="s">
        <v>1031</v>
      </c>
      <c r="B84" s="70">
        <v>0</v>
      </c>
      <c r="C84" s="70">
        <v>0</v>
      </c>
      <c r="D84" s="71" t="s">
        <v>1032</v>
      </c>
    </row>
    <row r="85" spans="1:4" ht="16" thickBot="1" x14ac:dyDescent="0.25">
      <c r="A85" s="68" t="s">
        <v>1033</v>
      </c>
      <c r="B85" s="76">
        <v>57563093</v>
      </c>
      <c r="C85" s="76">
        <v>54851274</v>
      </c>
      <c r="D85" s="67" t="s">
        <v>1034</v>
      </c>
    </row>
    <row r="86" spans="1:4" ht="29" thickBot="1" x14ac:dyDescent="0.25">
      <c r="A86" s="68" t="s">
        <v>1106</v>
      </c>
      <c r="B86" s="66"/>
      <c r="C86" s="66"/>
      <c r="D86" s="67" t="s">
        <v>1107</v>
      </c>
    </row>
    <row r="87" spans="1:4" ht="43" thickBot="1" x14ac:dyDescent="0.25">
      <c r="A87" s="73" t="s">
        <v>1108</v>
      </c>
      <c r="B87" s="66"/>
      <c r="C87" s="66"/>
      <c r="D87" s="67" t="s">
        <v>1109</v>
      </c>
    </row>
    <row r="88" spans="1:4" ht="43" thickBot="1" x14ac:dyDescent="0.25">
      <c r="A88" s="74" t="s">
        <v>1110</v>
      </c>
      <c r="B88" s="70">
        <v>252056</v>
      </c>
      <c r="C88" s="70">
        <v>238886</v>
      </c>
      <c r="D88" s="71" t="s">
        <v>1111</v>
      </c>
    </row>
    <row r="89" spans="1:4" ht="43" thickBot="1" x14ac:dyDescent="0.25">
      <c r="A89" s="74" t="s">
        <v>1112</v>
      </c>
      <c r="B89" s="70">
        <v>-804399</v>
      </c>
      <c r="C89" s="70">
        <v>71872</v>
      </c>
      <c r="D89" s="71" t="s">
        <v>1113</v>
      </c>
    </row>
    <row r="90" spans="1:4" ht="57" thickBot="1" x14ac:dyDescent="0.25">
      <c r="A90" s="74" t="s">
        <v>1114</v>
      </c>
      <c r="B90" s="70">
        <v>0</v>
      </c>
      <c r="C90" s="70">
        <v>0</v>
      </c>
      <c r="D90" s="71" t="s">
        <v>1115</v>
      </c>
    </row>
    <row r="91" spans="1:4" ht="43" thickBot="1" x14ac:dyDescent="0.25">
      <c r="A91" s="74" t="s">
        <v>1116</v>
      </c>
      <c r="B91" s="70">
        <v>-552343</v>
      </c>
      <c r="C91" s="70">
        <v>310758</v>
      </c>
      <c r="D91" s="71" t="s">
        <v>1117</v>
      </c>
    </row>
    <row r="92" spans="1:4" ht="43" thickBot="1" x14ac:dyDescent="0.25">
      <c r="A92" s="73" t="s">
        <v>1118</v>
      </c>
      <c r="B92" s="66"/>
      <c r="C92" s="66"/>
      <c r="D92" s="67" t="s">
        <v>1119</v>
      </c>
    </row>
    <row r="93" spans="1:4" ht="29" thickBot="1" x14ac:dyDescent="0.25">
      <c r="A93" s="74" t="s">
        <v>1120</v>
      </c>
      <c r="B93" s="70">
        <v>0</v>
      </c>
      <c r="C93" s="70">
        <v>35287</v>
      </c>
      <c r="D93" s="71" t="s">
        <v>1121</v>
      </c>
    </row>
    <row r="94" spans="1:4" ht="29" thickBot="1" x14ac:dyDescent="0.25">
      <c r="A94" s="74" t="s">
        <v>1122</v>
      </c>
      <c r="B94" s="72">
        <v>0</v>
      </c>
      <c r="C94" s="72">
        <v>0</v>
      </c>
      <c r="D94" s="71" t="s">
        <v>1123</v>
      </c>
    </row>
    <row r="95" spans="1:4" ht="57" thickBot="1" x14ac:dyDescent="0.25">
      <c r="A95" s="74" t="s">
        <v>1124</v>
      </c>
      <c r="B95" s="70">
        <v>2273789</v>
      </c>
      <c r="C95" s="70">
        <v>-824292</v>
      </c>
      <c r="D95" s="71" t="s">
        <v>1125</v>
      </c>
    </row>
    <row r="96" spans="1:4" ht="57" thickBot="1" x14ac:dyDescent="0.25">
      <c r="A96" s="74" t="s">
        <v>1126</v>
      </c>
      <c r="B96" s="72">
        <v>0</v>
      </c>
      <c r="C96" s="72">
        <v>0</v>
      </c>
      <c r="D96" s="71" t="s">
        <v>1127</v>
      </c>
    </row>
    <row r="97" spans="1:4" ht="29" thickBot="1" x14ac:dyDescent="0.25">
      <c r="A97" s="74" t="s">
        <v>1128</v>
      </c>
      <c r="B97" s="70">
        <v>0</v>
      </c>
      <c r="C97" s="70">
        <v>0</v>
      </c>
      <c r="D97" s="71" t="s">
        <v>1129</v>
      </c>
    </row>
    <row r="98" spans="1:4" ht="29" thickBot="1" x14ac:dyDescent="0.25">
      <c r="A98" s="74" t="s">
        <v>1130</v>
      </c>
      <c r="B98" s="72">
        <v>0</v>
      </c>
      <c r="C98" s="72">
        <v>0</v>
      </c>
      <c r="D98" s="71" t="s">
        <v>1131</v>
      </c>
    </row>
    <row r="99" spans="1:4" ht="85" thickBot="1" x14ac:dyDescent="0.25">
      <c r="A99" s="74" t="s">
        <v>1132</v>
      </c>
      <c r="B99" s="70">
        <v>0</v>
      </c>
      <c r="C99" s="70">
        <v>0</v>
      </c>
      <c r="D99" s="71" t="s">
        <v>1133</v>
      </c>
    </row>
    <row r="100" spans="1:4" ht="43" thickBot="1" x14ac:dyDescent="0.25">
      <c r="A100" s="74" t="s">
        <v>1134</v>
      </c>
      <c r="B100" s="70">
        <v>0</v>
      </c>
      <c r="C100" s="70">
        <v>0</v>
      </c>
      <c r="D100" s="71" t="s">
        <v>1135</v>
      </c>
    </row>
    <row r="101" spans="1:4" ht="43" thickBot="1" x14ac:dyDescent="0.25">
      <c r="A101" s="74" t="s">
        <v>1136</v>
      </c>
      <c r="B101" s="72">
        <v>0</v>
      </c>
      <c r="C101" s="72">
        <v>0</v>
      </c>
      <c r="D101" s="71" t="s">
        <v>1137</v>
      </c>
    </row>
    <row r="102" spans="1:4" ht="57" thickBot="1" x14ac:dyDescent="0.25">
      <c r="A102" s="74" t="s">
        <v>1138</v>
      </c>
      <c r="B102" s="70">
        <v>0</v>
      </c>
      <c r="C102" s="70">
        <v>0</v>
      </c>
      <c r="D102" s="71" t="s">
        <v>1139</v>
      </c>
    </row>
    <row r="103" spans="1:4" ht="57" thickBot="1" x14ac:dyDescent="0.25">
      <c r="A103" s="74" t="s">
        <v>1140</v>
      </c>
      <c r="B103" s="70">
        <v>0</v>
      </c>
      <c r="C103" s="70">
        <v>0</v>
      </c>
      <c r="D103" s="71" t="s">
        <v>1141</v>
      </c>
    </row>
    <row r="104" spans="1:4" ht="57" thickBot="1" x14ac:dyDescent="0.25">
      <c r="A104" s="74" t="s">
        <v>1142</v>
      </c>
      <c r="B104" s="70">
        <v>-101189</v>
      </c>
      <c r="C104" s="70">
        <v>0</v>
      </c>
      <c r="D104" s="71" t="s">
        <v>1143</v>
      </c>
    </row>
    <row r="105" spans="1:4" ht="43" thickBot="1" x14ac:dyDescent="0.25">
      <c r="A105" s="74" t="s">
        <v>1144</v>
      </c>
      <c r="B105" s="70">
        <v>2172600</v>
      </c>
      <c r="C105" s="70">
        <v>-789005</v>
      </c>
      <c r="D105" s="71" t="s">
        <v>1145</v>
      </c>
    </row>
    <row r="106" spans="1:4" ht="29" thickBot="1" x14ac:dyDescent="0.25">
      <c r="A106" s="69" t="s">
        <v>1146</v>
      </c>
      <c r="B106" s="70">
        <v>1620257</v>
      </c>
      <c r="C106" s="70">
        <v>-478247</v>
      </c>
      <c r="D106" s="71" t="s">
        <v>1147</v>
      </c>
    </row>
    <row r="107" spans="1:4" ht="29" thickBot="1" x14ac:dyDescent="0.25">
      <c r="A107" s="77" t="s">
        <v>1148</v>
      </c>
      <c r="B107" s="72">
        <v>274293</v>
      </c>
      <c r="C107" s="72">
        <v>-133293</v>
      </c>
      <c r="D107" s="71" t="s">
        <v>1149</v>
      </c>
    </row>
    <row r="108" spans="1:4" ht="29" thickBot="1" x14ac:dyDescent="0.25">
      <c r="A108" s="68" t="s">
        <v>1075</v>
      </c>
      <c r="B108" s="76">
        <v>1345964</v>
      </c>
      <c r="C108" s="76">
        <v>-344954</v>
      </c>
      <c r="D108" s="67" t="s">
        <v>1076</v>
      </c>
    </row>
    <row r="109" spans="1:4" ht="16" thickBot="1" x14ac:dyDescent="0.25">
      <c r="A109" s="68" t="s">
        <v>1077</v>
      </c>
      <c r="B109" s="76">
        <v>58909057</v>
      </c>
      <c r="C109" s="76">
        <v>54506320</v>
      </c>
      <c r="D109" s="67" t="s">
        <v>1078</v>
      </c>
    </row>
    <row r="110" spans="1:4" ht="16" thickBot="1" x14ac:dyDescent="0.25">
      <c r="A110" s="68" t="s">
        <v>1079</v>
      </c>
      <c r="B110" s="66"/>
      <c r="C110" s="66"/>
      <c r="D110" s="67" t="s">
        <v>1080</v>
      </c>
    </row>
    <row r="111" spans="1:4" ht="29" thickBot="1" x14ac:dyDescent="0.25">
      <c r="A111" s="69" t="s">
        <v>1081</v>
      </c>
      <c r="B111" s="70">
        <v>57537287</v>
      </c>
      <c r="C111" s="70">
        <v>54836305</v>
      </c>
      <c r="D111" s="71" t="s">
        <v>1082</v>
      </c>
    </row>
    <row r="112" spans="1:4" ht="29" thickBot="1" x14ac:dyDescent="0.25">
      <c r="A112" s="69" t="s">
        <v>1083</v>
      </c>
      <c r="B112" s="70">
        <v>25806</v>
      </c>
      <c r="C112" s="70">
        <v>14969</v>
      </c>
      <c r="D112" s="71" t="s">
        <v>1084</v>
      </c>
    </row>
    <row r="113" spans="1:4" ht="29" thickBot="1" x14ac:dyDescent="0.25">
      <c r="A113" s="68" t="s">
        <v>1085</v>
      </c>
      <c r="B113" s="66"/>
      <c r="C113" s="66"/>
      <c r="D113" s="67" t="s">
        <v>1086</v>
      </c>
    </row>
    <row r="114" spans="1:4" ht="29" thickBot="1" x14ac:dyDescent="0.25">
      <c r="A114" s="69" t="s">
        <v>1087</v>
      </c>
      <c r="B114" s="70">
        <v>58882446</v>
      </c>
      <c r="C114" s="70">
        <v>54493191</v>
      </c>
      <c r="D114" s="71" t="s">
        <v>1088</v>
      </c>
    </row>
    <row r="115" spans="1:4" ht="43" thickBot="1" x14ac:dyDescent="0.25">
      <c r="A115" s="69" t="s">
        <v>1089</v>
      </c>
      <c r="B115" s="70">
        <v>26611</v>
      </c>
      <c r="C115" s="70">
        <v>13129</v>
      </c>
      <c r="D115" s="71" t="s">
        <v>1090</v>
      </c>
    </row>
    <row r="116" spans="1:4" ht="16" thickBot="1" x14ac:dyDescent="0.25">
      <c r="A116" s="68" t="s">
        <v>1091</v>
      </c>
      <c r="B116" s="66"/>
      <c r="C116" s="66"/>
      <c r="D116" s="67" t="s">
        <v>1092</v>
      </c>
    </row>
    <row r="117" spans="1:4" ht="29" thickBot="1" x14ac:dyDescent="0.25">
      <c r="A117" s="73" t="s">
        <v>1093</v>
      </c>
      <c r="B117" s="66"/>
      <c r="C117" s="66"/>
      <c r="D117" s="67" t="s">
        <v>1094</v>
      </c>
    </row>
    <row r="118" spans="1:4" ht="29" thickBot="1" x14ac:dyDescent="0.25">
      <c r="A118" s="74" t="s">
        <v>1095</v>
      </c>
      <c r="B118" s="78">
        <v>467</v>
      </c>
      <c r="C118" s="78">
        <v>445</v>
      </c>
      <c r="D118" s="71" t="s">
        <v>1096</v>
      </c>
    </row>
    <row r="119" spans="1:4" ht="29" thickBot="1" x14ac:dyDescent="0.25">
      <c r="A119" s="74" t="s">
        <v>1097</v>
      </c>
      <c r="B119" s="78">
        <v>0</v>
      </c>
      <c r="C119" s="78">
        <v>0</v>
      </c>
      <c r="D119" s="71" t="s">
        <v>1098</v>
      </c>
    </row>
    <row r="120" spans="1:4" ht="16" thickBot="1" x14ac:dyDescent="0.25">
      <c r="A120" s="73" t="s">
        <v>1099</v>
      </c>
      <c r="B120" s="66"/>
      <c r="C120" s="66"/>
      <c r="D120" s="67" t="s">
        <v>1100</v>
      </c>
    </row>
    <row r="121" spans="1:4" ht="29" thickBot="1" x14ac:dyDescent="0.25">
      <c r="A121" s="74" t="s">
        <v>1101</v>
      </c>
      <c r="B121" s="78">
        <v>467</v>
      </c>
      <c r="C121" s="78">
        <v>445</v>
      </c>
      <c r="D121" s="71" t="s">
        <v>1102</v>
      </c>
    </row>
    <row r="122" spans="1:4" ht="29" thickBot="1" x14ac:dyDescent="0.25">
      <c r="A122" s="74" t="s">
        <v>1103</v>
      </c>
      <c r="B122" s="78">
        <v>0</v>
      </c>
      <c r="C122" s="78">
        <v>0</v>
      </c>
      <c r="D122" s="71"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baseColWidth="10" defaultColWidth="9.3984375" defaultRowHeight="15" x14ac:dyDescent="0.2"/>
  <cols>
    <col min="1" max="1" width="42.59765625" style="80" bestFit="1" customWidth="1" collapsed="1"/>
    <col min="2" max="28" width="33.3984375" style="80" customWidth="1" collapsed="1"/>
    <col min="29" max="29" width="42.59765625" style="80" bestFit="1" customWidth="1" collapsed="1"/>
    <col min="30" max="16384" width="9.3984375" style="80" collapsed="1"/>
  </cols>
  <sheetData>
    <row r="1" spans="1:29" ht="18" x14ac:dyDescent="0.2">
      <c r="A1" s="79" t="s">
        <v>1150</v>
      </c>
    </row>
    <row r="3" spans="1:29" ht="17.25" customHeight="1" x14ac:dyDescent="0.2">
      <c r="A3" s="558" t="s">
        <v>1151</v>
      </c>
      <c r="B3" s="558"/>
      <c r="C3" s="558"/>
      <c r="D3" s="558"/>
      <c r="E3" s="558"/>
      <c r="F3" s="558"/>
      <c r="G3" s="558"/>
      <c r="H3" s="558"/>
      <c r="I3" s="558"/>
      <c r="J3" s="558"/>
      <c r="K3" s="558"/>
      <c r="L3" s="558"/>
      <c r="M3" s="558"/>
      <c r="N3" s="558"/>
      <c r="O3" s="559" t="s">
        <v>1152</v>
      </c>
      <c r="P3" s="559"/>
      <c r="Q3" s="559"/>
      <c r="R3" s="559"/>
      <c r="S3" s="559"/>
      <c r="T3" s="559"/>
      <c r="U3" s="559"/>
      <c r="V3" s="559"/>
      <c r="W3" s="559"/>
      <c r="X3" s="559"/>
      <c r="Y3" s="559"/>
      <c r="Z3" s="559"/>
      <c r="AA3" s="559"/>
      <c r="AB3" s="559"/>
      <c r="AC3" s="559"/>
    </row>
    <row r="4" spans="1:29" ht="57" x14ac:dyDescent="0.2">
      <c r="A4" s="560"/>
      <c r="B4" s="81" t="s">
        <v>823</v>
      </c>
      <c r="C4" s="81" t="s">
        <v>825</v>
      </c>
      <c r="D4" s="81" t="s">
        <v>827</v>
      </c>
      <c r="E4" s="81" t="s">
        <v>829</v>
      </c>
      <c r="F4" s="81" t="s">
        <v>831</v>
      </c>
      <c r="G4" s="81" t="s">
        <v>833</v>
      </c>
      <c r="H4" s="81" t="s">
        <v>835</v>
      </c>
      <c r="I4" s="81" t="s">
        <v>837</v>
      </c>
      <c r="J4" s="81" t="s">
        <v>839</v>
      </c>
      <c r="K4" s="81" t="s">
        <v>841</v>
      </c>
      <c r="L4" s="81" t="s">
        <v>843</v>
      </c>
      <c r="M4" s="81" t="s">
        <v>845</v>
      </c>
      <c r="N4" s="81" t="s">
        <v>847</v>
      </c>
      <c r="O4" s="81" t="s">
        <v>849</v>
      </c>
      <c r="P4" s="81" t="s">
        <v>851</v>
      </c>
      <c r="Q4" s="81" t="s">
        <v>853</v>
      </c>
      <c r="R4" s="81" t="s">
        <v>1153</v>
      </c>
      <c r="S4" s="81" t="s">
        <v>1154</v>
      </c>
      <c r="T4" s="81" t="s">
        <v>1155</v>
      </c>
      <c r="U4" s="81" t="s">
        <v>1156</v>
      </c>
      <c r="V4" s="81" t="s">
        <v>1157</v>
      </c>
      <c r="W4" s="81" t="s">
        <v>1158</v>
      </c>
      <c r="X4" s="81" t="s">
        <v>865</v>
      </c>
      <c r="Y4" s="81" t="s">
        <v>1159</v>
      </c>
      <c r="Z4" s="81" t="s">
        <v>869</v>
      </c>
      <c r="AA4" s="81" t="s">
        <v>871</v>
      </c>
      <c r="AB4" s="81" t="s">
        <v>819</v>
      </c>
      <c r="AC4" s="560"/>
    </row>
    <row r="5" spans="1:29" ht="37" x14ac:dyDescent="0.2">
      <c r="A5" s="560"/>
      <c r="B5" s="82" t="s">
        <v>822</v>
      </c>
      <c r="C5" s="82" t="s">
        <v>824</v>
      </c>
      <c r="D5" s="82" t="s">
        <v>826</v>
      </c>
      <c r="E5" s="82" t="s">
        <v>828</v>
      </c>
      <c r="F5" s="82" t="s">
        <v>830</v>
      </c>
      <c r="G5" s="82" t="s">
        <v>832</v>
      </c>
      <c r="H5" s="82" t="s">
        <v>834</v>
      </c>
      <c r="I5" s="82" t="s">
        <v>836</v>
      </c>
      <c r="J5" s="82" t="s">
        <v>838</v>
      </c>
      <c r="K5" s="82" t="s">
        <v>840</v>
      </c>
      <c r="L5" s="82" t="s">
        <v>842</v>
      </c>
      <c r="M5" s="82" t="s">
        <v>844</v>
      </c>
      <c r="N5" s="82" t="s">
        <v>846</v>
      </c>
      <c r="O5" s="82" t="s">
        <v>848</v>
      </c>
      <c r="P5" s="82" t="s">
        <v>850</v>
      </c>
      <c r="Q5" s="82" t="s">
        <v>852</v>
      </c>
      <c r="R5" s="82" t="s">
        <v>1160</v>
      </c>
      <c r="S5" s="82" t="s">
        <v>1161</v>
      </c>
      <c r="T5" s="82" t="s">
        <v>1162</v>
      </c>
      <c r="U5" s="82" t="s">
        <v>1163</v>
      </c>
      <c r="V5" s="82" t="s">
        <v>1164</v>
      </c>
      <c r="W5" s="82" t="s">
        <v>1165</v>
      </c>
      <c r="X5" s="82" t="s">
        <v>864</v>
      </c>
      <c r="Y5" s="82" t="s">
        <v>1166</v>
      </c>
      <c r="Z5" s="82" t="s">
        <v>868</v>
      </c>
      <c r="AA5" s="82" t="s">
        <v>870</v>
      </c>
      <c r="AB5" s="82" t="s">
        <v>818</v>
      </c>
      <c r="AC5" s="560"/>
    </row>
    <row r="6" spans="1:29" ht="29" thickBot="1" x14ac:dyDescent="0.25">
      <c r="A6" s="83" t="s">
        <v>1167</v>
      </c>
      <c r="B6" s="84"/>
      <c r="C6" s="84"/>
      <c r="D6" s="84"/>
      <c r="E6" s="84"/>
      <c r="F6" s="84"/>
      <c r="G6" s="84"/>
      <c r="H6" s="84"/>
      <c r="I6" s="84"/>
      <c r="J6" s="84"/>
      <c r="K6" s="84"/>
      <c r="L6" s="84"/>
      <c r="M6" s="84"/>
      <c r="N6" s="84"/>
      <c r="O6" s="84"/>
      <c r="P6" s="84"/>
      <c r="Q6" s="84"/>
      <c r="R6" s="84"/>
      <c r="S6" s="84"/>
      <c r="T6" s="84"/>
      <c r="U6" s="84"/>
      <c r="V6" s="84"/>
      <c r="W6" s="84"/>
      <c r="X6" s="84"/>
      <c r="Y6" s="84"/>
      <c r="Z6" s="84"/>
      <c r="AA6" s="84"/>
      <c r="AB6" s="84"/>
      <c r="AC6" s="85" t="s">
        <v>1168</v>
      </c>
    </row>
    <row r="7" spans="1:29" ht="16" thickBot="1" x14ac:dyDescent="0.25">
      <c r="A7" s="86" t="s">
        <v>1169</v>
      </c>
      <c r="B7" s="84"/>
      <c r="C7" s="84"/>
      <c r="D7" s="84"/>
      <c r="E7" s="84"/>
      <c r="F7" s="84"/>
      <c r="G7" s="84"/>
      <c r="H7" s="84"/>
      <c r="I7" s="84"/>
      <c r="J7" s="84"/>
      <c r="K7" s="84"/>
      <c r="L7" s="84"/>
      <c r="M7" s="84"/>
      <c r="N7" s="84"/>
      <c r="O7" s="84"/>
      <c r="P7" s="84"/>
      <c r="Q7" s="84"/>
      <c r="R7" s="84"/>
      <c r="S7" s="84"/>
      <c r="T7" s="84"/>
      <c r="U7" s="84"/>
      <c r="V7" s="84"/>
      <c r="W7" s="84"/>
      <c r="X7" s="84"/>
      <c r="Y7" s="84"/>
      <c r="Z7" s="84"/>
      <c r="AA7" s="84"/>
      <c r="AB7" s="84"/>
      <c r="AC7" s="85" t="s">
        <v>1170</v>
      </c>
    </row>
    <row r="8" spans="1:29" ht="29" thickBot="1" x14ac:dyDescent="0.25">
      <c r="A8" s="87" t="s">
        <v>1171</v>
      </c>
      <c r="B8" s="88">
        <v>1540938</v>
      </c>
      <c r="C8" s="88">
        <v>0</v>
      </c>
      <c r="D8" s="88">
        <v>5548977</v>
      </c>
      <c r="E8" s="88">
        <v>0</v>
      </c>
      <c r="F8" s="88">
        <v>0</v>
      </c>
      <c r="G8" s="88">
        <v>0</v>
      </c>
      <c r="H8" s="88">
        <v>0</v>
      </c>
      <c r="I8" s="88">
        <v>11138896</v>
      </c>
      <c r="J8" s="88">
        <v>457789</v>
      </c>
      <c r="K8" s="88">
        <v>273214</v>
      </c>
      <c r="L8" s="88">
        <v>0</v>
      </c>
      <c r="M8" s="88">
        <v>0</v>
      </c>
      <c r="N8" s="88">
        <v>0</v>
      </c>
      <c r="O8" s="88">
        <v>0</v>
      </c>
      <c r="P8" s="88">
        <v>0</v>
      </c>
      <c r="Q8" s="88">
        <v>0</v>
      </c>
      <c r="R8" s="88">
        <v>0</v>
      </c>
      <c r="S8" s="88">
        <v>0</v>
      </c>
      <c r="T8" s="88">
        <v>0</v>
      </c>
      <c r="U8" s="88">
        <v>1385</v>
      </c>
      <c r="V8" s="88">
        <v>3720540</v>
      </c>
      <c r="W8" s="88">
        <v>0</v>
      </c>
      <c r="X8" s="88">
        <v>239958882</v>
      </c>
      <c r="Y8" s="89">
        <v>262640621</v>
      </c>
      <c r="Z8" s="88">
        <v>0</v>
      </c>
      <c r="AA8" s="88">
        <v>194466</v>
      </c>
      <c r="AB8" s="89">
        <v>262835087</v>
      </c>
      <c r="AC8" s="90" t="s">
        <v>1172</v>
      </c>
    </row>
    <row r="9" spans="1:29" ht="16" thickBot="1" x14ac:dyDescent="0.25">
      <c r="A9" s="91" t="s">
        <v>1173</v>
      </c>
      <c r="B9" s="84"/>
      <c r="C9" s="84"/>
      <c r="D9" s="84"/>
      <c r="E9" s="84"/>
      <c r="F9" s="84"/>
      <c r="G9" s="84"/>
      <c r="H9" s="84"/>
      <c r="I9" s="84"/>
      <c r="J9" s="84"/>
      <c r="K9" s="84"/>
      <c r="L9" s="84"/>
      <c r="M9" s="84"/>
      <c r="N9" s="84"/>
      <c r="O9" s="84"/>
      <c r="P9" s="84"/>
      <c r="Q9" s="84"/>
      <c r="R9" s="84"/>
      <c r="S9" s="84"/>
      <c r="T9" s="84"/>
      <c r="U9" s="84"/>
      <c r="V9" s="84"/>
      <c r="W9" s="84"/>
      <c r="X9" s="84"/>
      <c r="Y9" s="84"/>
      <c r="Z9" s="84"/>
      <c r="AA9" s="84"/>
      <c r="AB9" s="84"/>
      <c r="AC9" s="85" t="s">
        <v>1174</v>
      </c>
    </row>
    <row r="10" spans="1:29" ht="29" thickBot="1" x14ac:dyDescent="0.25">
      <c r="A10" s="92" t="s">
        <v>1175</v>
      </c>
      <c r="B10" s="88">
        <v>0</v>
      </c>
      <c r="C10" s="88">
        <v>0</v>
      </c>
      <c r="D10" s="88">
        <v>0</v>
      </c>
      <c r="E10" s="88">
        <v>0</v>
      </c>
      <c r="F10" s="88">
        <v>0</v>
      </c>
      <c r="G10" s="88">
        <v>0</v>
      </c>
      <c r="H10" s="88">
        <v>0</v>
      </c>
      <c r="I10" s="88">
        <v>0</v>
      </c>
      <c r="J10" s="88">
        <v>0</v>
      </c>
      <c r="K10" s="88">
        <v>0</v>
      </c>
      <c r="L10" s="88">
        <v>0</v>
      </c>
      <c r="M10" s="88">
        <v>0</v>
      </c>
      <c r="N10" s="88">
        <v>0</v>
      </c>
      <c r="O10" s="88">
        <v>0</v>
      </c>
      <c r="P10" s="88">
        <v>0</v>
      </c>
      <c r="Q10" s="88">
        <v>0</v>
      </c>
      <c r="R10" s="88">
        <v>0</v>
      </c>
      <c r="S10" s="88">
        <v>0</v>
      </c>
      <c r="T10" s="88">
        <v>0</v>
      </c>
      <c r="U10" s="88">
        <v>0</v>
      </c>
      <c r="V10" s="88">
        <v>0</v>
      </c>
      <c r="W10" s="88">
        <v>0</v>
      </c>
      <c r="X10" s="88">
        <v>0</v>
      </c>
      <c r="Y10" s="89">
        <v>0</v>
      </c>
      <c r="Z10" s="88">
        <v>0</v>
      </c>
      <c r="AA10" s="88">
        <v>0</v>
      </c>
      <c r="AB10" s="89">
        <v>0</v>
      </c>
      <c r="AC10" s="90" t="s">
        <v>1176</v>
      </c>
    </row>
    <row r="11" spans="1:29" ht="29" thickBot="1" x14ac:dyDescent="0.25">
      <c r="A11" s="92" t="s">
        <v>1177</v>
      </c>
      <c r="B11" s="88">
        <v>0</v>
      </c>
      <c r="C11" s="88">
        <v>0</v>
      </c>
      <c r="D11" s="88">
        <v>0</v>
      </c>
      <c r="E11" s="88">
        <v>0</v>
      </c>
      <c r="F11" s="88">
        <v>0</v>
      </c>
      <c r="G11" s="88">
        <v>0</v>
      </c>
      <c r="H11" s="88">
        <v>0</v>
      </c>
      <c r="I11" s="88">
        <v>0</v>
      </c>
      <c r="J11" s="88">
        <v>0</v>
      </c>
      <c r="K11" s="88">
        <v>0</v>
      </c>
      <c r="L11" s="88">
        <v>0</v>
      </c>
      <c r="M11" s="88">
        <v>0</v>
      </c>
      <c r="N11" s="88">
        <v>0</v>
      </c>
      <c r="O11" s="88">
        <v>0</v>
      </c>
      <c r="P11" s="88">
        <v>0</v>
      </c>
      <c r="Q11" s="88">
        <v>0</v>
      </c>
      <c r="R11" s="88">
        <v>0</v>
      </c>
      <c r="S11" s="88">
        <v>0</v>
      </c>
      <c r="T11" s="88">
        <v>0</v>
      </c>
      <c r="U11" s="88">
        <v>0</v>
      </c>
      <c r="V11" s="88">
        <v>0</v>
      </c>
      <c r="W11" s="88">
        <v>0</v>
      </c>
      <c r="X11" s="88">
        <v>0</v>
      </c>
      <c r="Y11" s="89">
        <v>0</v>
      </c>
      <c r="Z11" s="88">
        <v>0</v>
      </c>
      <c r="AA11" s="88">
        <v>0</v>
      </c>
      <c r="AB11" s="89">
        <v>0</v>
      </c>
      <c r="AC11" s="90" t="s">
        <v>1178</v>
      </c>
    </row>
    <row r="12" spans="1:29" ht="16" thickBot="1" x14ac:dyDescent="0.25">
      <c r="A12" s="92" t="s">
        <v>1179</v>
      </c>
      <c r="B12" s="88">
        <v>0</v>
      </c>
      <c r="C12" s="88">
        <v>0</v>
      </c>
      <c r="D12" s="88">
        <v>0</v>
      </c>
      <c r="E12" s="88">
        <v>0</v>
      </c>
      <c r="F12" s="88">
        <v>0</v>
      </c>
      <c r="G12" s="88">
        <v>0</v>
      </c>
      <c r="H12" s="88">
        <v>0</v>
      </c>
      <c r="I12" s="88">
        <v>0</v>
      </c>
      <c r="J12" s="88">
        <v>0</v>
      </c>
      <c r="K12" s="88">
        <v>0</v>
      </c>
      <c r="L12" s="88">
        <v>0</v>
      </c>
      <c r="M12" s="88">
        <v>0</v>
      </c>
      <c r="N12" s="88">
        <v>0</v>
      </c>
      <c r="O12" s="88">
        <v>0</v>
      </c>
      <c r="P12" s="88">
        <v>0</v>
      </c>
      <c r="Q12" s="88">
        <v>0</v>
      </c>
      <c r="R12" s="88">
        <v>0</v>
      </c>
      <c r="S12" s="88">
        <v>0</v>
      </c>
      <c r="T12" s="88">
        <v>0</v>
      </c>
      <c r="U12" s="88">
        <v>0</v>
      </c>
      <c r="V12" s="88">
        <v>0</v>
      </c>
      <c r="W12" s="88">
        <v>0</v>
      </c>
      <c r="X12" s="88">
        <v>0</v>
      </c>
      <c r="Y12" s="89">
        <v>0</v>
      </c>
      <c r="Z12" s="88">
        <v>0</v>
      </c>
      <c r="AA12" s="88">
        <v>0</v>
      </c>
      <c r="AB12" s="89">
        <v>0</v>
      </c>
      <c r="AC12" s="90" t="s">
        <v>1180</v>
      </c>
    </row>
    <row r="13" spans="1:29" ht="16" thickBot="1" x14ac:dyDescent="0.25">
      <c r="A13" s="92" t="s">
        <v>1181</v>
      </c>
      <c r="B13" s="88">
        <v>0</v>
      </c>
      <c r="C13" s="88">
        <v>0</v>
      </c>
      <c r="D13" s="88">
        <v>0</v>
      </c>
      <c r="E13" s="88">
        <v>0</v>
      </c>
      <c r="F13" s="88">
        <v>0</v>
      </c>
      <c r="G13" s="88">
        <v>0</v>
      </c>
      <c r="H13" s="88">
        <v>0</v>
      </c>
      <c r="I13" s="88">
        <v>0</v>
      </c>
      <c r="J13" s="88">
        <v>0</v>
      </c>
      <c r="K13" s="88">
        <v>0</v>
      </c>
      <c r="L13" s="88">
        <v>0</v>
      </c>
      <c r="M13" s="88">
        <v>0</v>
      </c>
      <c r="N13" s="88">
        <v>0</v>
      </c>
      <c r="O13" s="88">
        <v>0</v>
      </c>
      <c r="P13" s="88">
        <v>0</v>
      </c>
      <c r="Q13" s="88">
        <v>0</v>
      </c>
      <c r="R13" s="88">
        <v>0</v>
      </c>
      <c r="S13" s="88">
        <v>0</v>
      </c>
      <c r="T13" s="88">
        <v>0</v>
      </c>
      <c r="U13" s="88">
        <v>0</v>
      </c>
      <c r="V13" s="88">
        <v>0</v>
      </c>
      <c r="W13" s="88">
        <v>0</v>
      </c>
      <c r="X13" s="88">
        <v>0</v>
      </c>
      <c r="Y13" s="89">
        <v>0</v>
      </c>
      <c r="Z13" s="88">
        <v>0</v>
      </c>
      <c r="AA13" s="88">
        <v>0</v>
      </c>
      <c r="AB13" s="89">
        <v>0</v>
      </c>
      <c r="AC13" s="90" t="s">
        <v>1182</v>
      </c>
    </row>
    <row r="14" spans="1:29" ht="16" thickBot="1" x14ac:dyDescent="0.25">
      <c r="A14" s="91" t="s">
        <v>1183</v>
      </c>
      <c r="B14" s="89">
        <v>1540938</v>
      </c>
      <c r="C14" s="89">
        <v>0</v>
      </c>
      <c r="D14" s="89">
        <v>5548977</v>
      </c>
      <c r="E14" s="89">
        <v>0</v>
      </c>
      <c r="F14" s="89">
        <v>0</v>
      </c>
      <c r="G14" s="89">
        <v>0</v>
      </c>
      <c r="H14" s="89">
        <v>0</v>
      </c>
      <c r="I14" s="89">
        <v>11138896</v>
      </c>
      <c r="J14" s="89">
        <v>457789</v>
      </c>
      <c r="K14" s="89">
        <v>273214</v>
      </c>
      <c r="L14" s="89">
        <v>0</v>
      </c>
      <c r="M14" s="89">
        <v>0</v>
      </c>
      <c r="N14" s="89">
        <v>0</v>
      </c>
      <c r="O14" s="89">
        <v>0</v>
      </c>
      <c r="P14" s="89">
        <v>0</v>
      </c>
      <c r="Q14" s="89">
        <v>0</v>
      </c>
      <c r="R14" s="89">
        <v>0</v>
      </c>
      <c r="S14" s="89">
        <v>0</v>
      </c>
      <c r="T14" s="89">
        <v>0</v>
      </c>
      <c r="U14" s="89">
        <v>1385</v>
      </c>
      <c r="V14" s="89">
        <v>3720540</v>
      </c>
      <c r="W14" s="89">
        <v>0</v>
      </c>
      <c r="X14" s="89">
        <v>239958882</v>
      </c>
      <c r="Y14" s="89">
        <v>262640621</v>
      </c>
      <c r="Z14" s="89">
        <v>0</v>
      </c>
      <c r="AA14" s="89">
        <v>194466</v>
      </c>
      <c r="AB14" s="89">
        <v>262835087</v>
      </c>
      <c r="AC14" s="85" t="s">
        <v>1184</v>
      </c>
    </row>
    <row r="15" spans="1:29" ht="16" thickBot="1" x14ac:dyDescent="0.25">
      <c r="A15" s="87" t="s">
        <v>1185</v>
      </c>
      <c r="B15" s="88">
        <v>0</v>
      </c>
      <c r="C15" s="88">
        <v>0</v>
      </c>
      <c r="D15" s="88">
        <v>0</v>
      </c>
      <c r="E15" s="88">
        <v>0</v>
      </c>
      <c r="F15" s="88">
        <v>0</v>
      </c>
      <c r="G15" s="88">
        <v>0</v>
      </c>
      <c r="H15" s="88">
        <v>0</v>
      </c>
      <c r="I15" s="88">
        <v>0</v>
      </c>
      <c r="J15" s="88">
        <v>0</v>
      </c>
      <c r="K15" s="88">
        <v>0</v>
      </c>
      <c r="L15" s="88">
        <v>0</v>
      </c>
      <c r="M15" s="88">
        <v>0</v>
      </c>
      <c r="N15" s="88">
        <v>0</v>
      </c>
      <c r="O15" s="88">
        <v>0</v>
      </c>
      <c r="P15" s="88">
        <v>0</v>
      </c>
      <c r="Q15" s="88">
        <v>0</v>
      </c>
      <c r="R15" s="88">
        <v>0</v>
      </c>
      <c r="S15" s="88">
        <v>0</v>
      </c>
      <c r="T15" s="88">
        <v>0</v>
      </c>
      <c r="U15" s="88">
        <v>0</v>
      </c>
      <c r="V15" s="88">
        <v>0</v>
      </c>
      <c r="W15" s="88">
        <v>0</v>
      </c>
      <c r="X15" s="88">
        <v>57537287</v>
      </c>
      <c r="Y15" s="89">
        <v>57537287</v>
      </c>
      <c r="Z15" s="88">
        <v>0</v>
      </c>
      <c r="AA15" s="88">
        <v>25806</v>
      </c>
      <c r="AB15" s="89">
        <v>57563093</v>
      </c>
      <c r="AC15" s="90" t="s">
        <v>1186</v>
      </c>
    </row>
    <row r="16" spans="1:29" ht="16" thickBot="1" x14ac:dyDescent="0.25">
      <c r="A16" s="87" t="s">
        <v>1187</v>
      </c>
      <c r="B16" s="88">
        <v>0</v>
      </c>
      <c r="C16" s="88">
        <v>0</v>
      </c>
      <c r="D16" s="88">
        <v>0</v>
      </c>
      <c r="E16" s="88">
        <v>0</v>
      </c>
      <c r="F16" s="88">
        <v>0</v>
      </c>
      <c r="G16" s="88">
        <v>0</v>
      </c>
      <c r="H16" s="88">
        <v>0</v>
      </c>
      <c r="I16" s="88">
        <v>240077</v>
      </c>
      <c r="J16" s="88">
        <v>0</v>
      </c>
      <c r="K16" s="88">
        <v>1835659</v>
      </c>
      <c r="L16" s="88">
        <v>0</v>
      </c>
      <c r="M16" s="88">
        <v>0</v>
      </c>
      <c r="N16" s="88">
        <v>0</v>
      </c>
      <c r="O16" s="88">
        <v>0</v>
      </c>
      <c r="P16" s="88">
        <v>0</v>
      </c>
      <c r="Q16" s="88">
        <v>0</v>
      </c>
      <c r="R16" s="88">
        <v>0</v>
      </c>
      <c r="S16" s="88">
        <v>0</v>
      </c>
      <c r="T16" s="88">
        <v>0</v>
      </c>
      <c r="U16" s="88">
        <v>-91070</v>
      </c>
      <c r="V16" s="88">
        <v>0</v>
      </c>
      <c r="W16" s="88">
        <v>0</v>
      </c>
      <c r="X16" s="88">
        <v>-639507</v>
      </c>
      <c r="Y16" s="89">
        <v>1345159</v>
      </c>
      <c r="Z16" s="88">
        <v>0</v>
      </c>
      <c r="AA16" s="88">
        <v>805</v>
      </c>
      <c r="AB16" s="89">
        <v>1345964</v>
      </c>
      <c r="AC16" s="90" t="s">
        <v>1188</v>
      </c>
    </row>
    <row r="17" spans="1:29" ht="16" thickBot="1" x14ac:dyDescent="0.25">
      <c r="A17" s="87" t="s">
        <v>834</v>
      </c>
      <c r="B17" s="88">
        <v>0</v>
      </c>
      <c r="C17" s="88">
        <v>0</v>
      </c>
      <c r="D17" s="88">
        <v>0</v>
      </c>
      <c r="E17" s="88">
        <v>0</v>
      </c>
      <c r="F17" s="88">
        <v>0</v>
      </c>
      <c r="G17" s="88">
        <v>0</v>
      </c>
      <c r="H17" s="88">
        <v>0</v>
      </c>
      <c r="I17" s="88">
        <v>0</v>
      </c>
      <c r="J17" s="88">
        <v>0</v>
      </c>
      <c r="K17" s="88">
        <v>0</v>
      </c>
      <c r="L17" s="88">
        <v>0</v>
      </c>
      <c r="M17" s="88">
        <v>0</v>
      </c>
      <c r="N17" s="88">
        <v>0</v>
      </c>
      <c r="O17" s="88">
        <v>0</v>
      </c>
      <c r="P17" s="88">
        <v>0</v>
      </c>
      <c r="Q17" s="88">
        <v>0</v>
      </c>
      <c r="R17" s="88">
        <v>0</v>
      </c>
      <c r="S17" s="88">
        <v>0</v>
      </c>
      <c r="T17" s="88">
        <v>0</v>
      </c>
      <c r="U17" s="88">
        <v>0</v>
      </c>
      <c r="V17" s="88">
        <v>0</v>
      </c>
      <c r="W17" s="88">
        <v>0</v>
      </c>
      <c r="X17" s="88">
        <v>0</v>
      </c>
      <c r="Y17" s="89">
        <v>0</v>
      </c>
      <c r="Z17" s="88">
        <v>0</v>
      </c>
      <c r="AA17" s="88">
        <v>0</v>
      </c>
      <c r="AB17" s="89">
        <v>0</v>
      </c>
      <c r="AC17" s="90" t="s">
        <v>835</v>
      </c>
    </row>
    <row r="18" spans="1:29" ht="16" thickBot="1" x14ac:dyDescent="0.25">
      <c r="A18" s="87" t="s">
        <v>1189</v>
      </c>
      <c r="B18" s="88">
        <v>0</v>
      </c>
      <c r="C18" s="88">
        <v>0</v>
      </c>
      <c r="D18" s="88">
        <v>0</v>
      </c>
      <c r="E18" s="88">
        <v>0</v>
      </c>
      <c r="F18" s="88">
        <v>0</v>
      </c>
      <c r="G18" s="88">
        <v>0</v>
      </c>
      <c r="H18" s="88">
        <v>0</v>
      </c>
      <c r="I18" s="88">
        <v>0</v>
      </c>
      <c r="J18" s="88">
        <v>0</v>
      </c>
      <c r="K18" s="88">
        <v>0</v>
      </c>
      <c r="L18" s="88">
        <v>0</v>
      </c>
      <c r="M18" s="88">
        <v>0</v>
      </c>
      <c r="N18" s="88">
        <v>0</v>
      </c>
      <c r="O18" s="88">
        <v>0</v>
      </c>
      <c r="P18" s="88">
        <v>0</v>
      </c>
      <c r="Q18" s="88">
        <v>0</v>
      </c>
      <c r="R18" s="88">
        <v>0</v>
      </c>
      <c r="S18" s="88">
        <v>0</v>
      </c>
      <c r="T18" s="88">
        <v>0</v>
      </c>
      <c r="U18" s="88">
        <v>0</v>
      </c>
      <c r="V18" s="88">
        <v>548363</v>
      </c>
      <c r="W18" s="88">
        <v>0</v>
      </c>
      <c r="X18" s="88">
        <v>-548363</v>
      </c>
      <c r="Y18" s="89">
        <v>0</v>
      </c>
      <c r="Z18" s="88">
        <v>0</v>
      </c>
      <c r="AA18" s="88">
        <v>0</v>
      </c>
      <c r="AB18" s="89">
        <v>0</v>
      </c>
      <c r="AC18" s="90" t="s">
        <v>1190</v>
      </c>
    </row>
    <row r="19" spans="1:29" ht="16" thickBot="1" x14ac:dyDescent="0.25">
      <c r="A19" s="87" t="s">
        <v>1191</v>
      </c>
      <c r="B19" s="88">
        <v>0</v>
      </c>
      <c r="C19" s="88">
        <v>0</v>
      </c>
      <c r="D19" s="88">
        <v>0</v>
      </c>
      <c r="E19" s="88">
        <v>0</v>
      </c>
      <c r="F19" s="88">
        <v>0</v>
      </c>
      <c r="G19" s="88">
        <v>0</v>
      </c>
      <c r="H19" s="88">
        <v>0</v>
      </c>
      <c r="I19" s="88">
        <v>0</v>
      </c>
      <c r="J19" s="88">
        <v>0</v>
      </c>
      <c r="K19" s="88">
        <v>0</v>
      </c>
      <c r="L19" s="88">
        <v>0</v>
      </c>
      <c r="M19" s="88">
        <v>0</v>
      </c>
      <c r="N19" s="88">
        <v>0</v>
      </c>
      <c r="O19" s="88">
        <v>0</v>
      </c>
      <c r="P19" s="88">
        <v>0</v>
      </c>
      <c r="Q19" s="88">
        <v>0</v>
      </c>
      <c r="R19" s="88">
        <v>0</v>
      </c>
      <c r="S19" s="88">
        <v>0</v>
      </c>
      <c r="T19" s="88">
        <v>0</v>
      </c>
      <c r="U19" s="88">
        <v>0</v>
      </c>
      <c r="V19" s="88">
        <v>0</v>
      </c>
      <c r="W19" s="88">
        <v>0</v>
      </c>
      <c r="X19" s="88">
        <v>0</v>
      </c>
      <c r="Y19" s="89">
        <v>0</v>
      </c>
      <c r="Z19" s="88">
        <v>0</v>
      </c>
      <c r="AA19" s="88">
        <v>0</v>
      </c>
      <c r="AB19" s="89">
        <v>0</v>
      </c>
      <c r="AC19" s="90" t="s">
        <v>1192</v>
      </c>
    </row>
    <row r="20" spans="1:29" ht="16" thickBot="1" x14ac:dyDescent="0.25">
      <c r="A20" s="87" t="s">
        <v>1193</v>
      </c>
      <c r="B20" s="93">
        <v>0</v>
      </c>
      <c r="C20" s="93">
        <v>0</v>
      </c>
      <c r="D20" s="93">
        <v>0</v>
      </c>
      <c r="E20" s="93">
        <v>0</v>
      </c>
      <c r="F20" s="93">
        <v>0</v>
      </c>
      <c r="G20" s="93">
        <v>0</v>
      </c>
      <c r="H20" s="93">
        <v>0</v>
      </c>
      <c r="I20" s="93">
        <v>0</v>
      </c>
      <c r="J20" s="93">
        <v>0</v>
      </c>
      <c r="K20" s="93">
        <v>0</v>
      </c>
      <c r="L20" s="93">
        <v>0</v>
      </c>
      <c r="M20" s="93">
        <v>0</v>
      </c>
      <c r="N20" s="93">
        <v>0</v>
      </c>
      <c r="O20" s="93">
        <v>0</v>
      </c>
      <c r="P20" s="93">
        <v>0</v>
      </c>
      <c r="Q20" s="93">
        <v>0</v>
      </c>
      <c r="R20" s="93">
        <v>0</v>
      </c>
      <c r="S20" s="93">
        <v>0</v>
      </c>
      <c r="T20" s="93">
        <v>0</v>
      </c>
      <c r="U20" s="93">
        <v>0</v>
      </c>
      <c r="V20" s="93">
        <v>0</v>
      </c>
      <c r="W20" s="93">
        <v>0</v>
      </c>
      <c r="X20" s="93">
        <v>37595047</v>
      </c>
      <c r="Y20" s="93">
        <v>37595047</v>
      </c>
      <c r="Z20" s="93">
        <v>0</v>
      </c>
      <c r="AA20" s="93">
        <v>0</v>
      </c>
      <c r="AB20" s="93">
        <v>37595047</v>
      </c>
      <c r="AC20" s="90" t="s">
        <v>1194</v>
      </c>
    </row>
    <row r="21" spans="1:29" ht="16" thickBot="1" x14ac:dyDescent="0.25">
      <c r="A21" s="87" t="s">
        <v>1195</v>
      </c>
      <c r="B21" s="93">
        <v>0</v>
      </c>
      <c r="C21" s="93">
        <v>0</v>
      </c>
      <c r="D21" s="93">
        <v>0</v>
      </c>
      <c r="E21" s="93">
        <v>0</v>
      </c>
      <c r="F21" s="93">
        <v>0</v>
      </c>
      <c r="G21" s="93">
        <v>0</v>
      </c>
      <c r="H21" s="93">
        <v>0</v>
      </c>
      <c r="I21" s="93">
        <v>0</v>
      </c>
      <c r="J21" s="93">
        <v>0</v>
      </c>
      <c r="K21" s="93">
        <v>0</v>
      </c>
      <c r="L21" s="93">
        <v>0</v>
      </c>
      <c r="M21" s="93">
        <v>0</v>
      </c>
      <c r="N21" s="93">
        <v>0</v>
      </c>
      <c r="O21" s="93">
        <v>0</v>
      </c>
      <c r="P21" s="93">
        <v>0</v>
      </c>
      <c r="Q21" s="93">
        <v>0</v>
      </c>
      <c r="R21" s="93">
        <v>0</v>
      </c>
      <c r="S21" s="93">
        <v>0</v>
      </c>
      <c r="T21" s="93">
        <v>0</v>
      </c>
      <c r="U21" s="93">
        <v>0</v>
      </c>
      <c r="V21" s="93">
        <v>0</v>
      </c>
      <c r="W21" s="93">
        <v>0</v>
      </c>
      <c r="X21" s="93">
        <v>0</v>
      </c>
      <c r="Y21" s="93">
        <v>0</v>
      </c>
      <c r="Z21" s="93">
        <v>0</v>
      </c>
      <c r="AA21" s="93">
        <v>0</v>
      </c>
      <c r="AB21" s="93">
        <v>0</v>
      </c>
      <c r="AC21" s="90" t="s">
        <v>1196</v>
      </c>
    </row>
    <row r="22" spans="1:29" ht="16" thickBot="1" x14ac:dyDescent="0.25">
      <c r="A22" s="87" t="s">
        <v>1197</v>
      </c>
      <c r="B22" s="88">
        <v>0</v>
      </c>
      <c r="C22" s="88">
        <v>0</v>
      </c>
      <c r="D22" s="88">
        <v>0</v>
      </c>
      <c r="E22" s="88">
        <v>0</v>
      </c>
      <c r="F22" s="88">
        <v>0</v>
      </c>
      <c r="G22" s="88">
        <v>0</v>
      </c>
      <c r="H22" s="88">
        <v>0</v>
      </c>
      <c r="I22" s="88">
        <v>0</v>
      </c>
      <c r="J22" s="88">
        <v>0</v>
      </c>
      <c r="K22" s="88">
        <v>0</v>
      </c>
      <c r="L22" s="88">
        <v>0</v>
      </c>
      <c r="M22" s="88">
        <v>0</v>
      </c>
      <c r="N22" s="88">
        <v>0</v>
      </c>
      <c r="O22" s="88">
        <v>0</v>
      </c>
      <c r="P22" s="88">
        <v>0</v>
      </c>
      <c r="Q22" s="88">
        <v>0</v>
      </c>
      <c r="R22" s="88">
        <v>0</v>
      </c>
      <c r="S22" s="88">
        <v>0</v>
      </c>
      <c r="T22" s="88">
        <v>0</v>
      </c>
      <c r="U22" s="88">
        <v>0</v>
      </c>
      <c r="V22" s="88">
        <v>0</v>
      </c>
      <c r="W22" s="88">
        <v>0</v>
      </c>
      <c r="X22" s="88">
        <v>0</v>
      </c>
      <c r="Y22" s="89">
        <v>0</v>
      </c>
      <c r="Z22" s="88">
        <v>0</v>
      </c>
      <c r="AA22" s="88">
        <v>0</v>
      </c>
      <c r="AB22" s="89">
        <v>0</v>
      </c>
      <c r="AC22" s="90" t="s">
        <v>1198</v>
      </c>
    </row>
    <row r="23" spans="1:29" ht="16" thickBot="1" x14ac:dyDescent="0.25">
      <c r="A23" s="87" t="s">
        <v>1199</v>
      </c>
      <c r="B23" s="88">
        <v>0</v>
      </c>
      <c r="C23" s="88">
        <v>0</v>
      </c>
      <c r="D23" s="88">
        <v>0</v>
      </c>
      <c r="E23" s="88">
        <v>0</v>
      </c>
      <c r="F23" s="88">
        <v>0</v>
      </c>
      <c r="G23" s="88">
        <v>0</v>
      </c>
      <c r="H23" s="88">
        <v>0</v>
      </c>
      <c r="I23" s="88">
        <v>0</v>
      </c>
      <c r="J23" s="88">
        <v>0</v>
      </c>
      <c r="K23" s="88">
        <v>0</v>
      </c>
      <c r="L23" s="88">
        <v>0</v>
      </c>
      <c r="M23" s="88">
        <v>0</v>
      </c>
      <c r="N23" s="88">
        <v>0</v>
      </c>
      <c r="O23" s="88">
        <v>0</v>
      </c>
      <c r="P23" s="88">
        <v>0</v>
      </c>
      <c r="Q23" s="88">
        <v>0</v>
      </c>
      <c r="R23" s="88">
        <v>0</v>
      </c>
      <c r="S23" s="88">
        <v>0</v>
      </c>
      <c r="T23" s="88">
        <v>0</v>
      </c>
      <c r="U23" s="88">
        <v>0</v>
      </c>
      <c r="V23" s="88">
        <v>0</v>
      </c>
      <c r="W23" s="88">
        <v>0</v>
      </c>
      <c r="X23" s="88">
        <v>0</v>
      </c>
      <c r="Y23" s="89">
        <v>0</v>
      </c>
      <c r="Z23" s="88">
        <v>0</v>
      </c>
      <c r="AA23" s="88">
        <v>0</v>
      </c>
      <c r="AB23" s="89">
        <v>0</v>
      </c>
      <c r="AC23" s="90" t="s">
        <v>1200</v>
      </c>
    </row>
    <row r="24" spans="1:29" ht="16" thickBot="1" x14ac:dyDescent="0.25">
      <c r="A24" s="87" t="s">
        <v>1201</v>
      </c>
      <c r="B24" s="93">
        <v>0</v>
      </c>
      <c r="C24" s="93">
        <v>0</v>
      </c>
      <c r="D24" s="93">
        <v>0</v>
      </c>
      <c r="E24" s="93">
        <v>0</v>
      </c>
      <c r="F24" s="93">
        <v>0</v>
      </c>
      <c r="G24" s="93">
        <v>0</v>
      </c>
      <c r="H24" s="93">
        <v>0</v>
      </c>
      <c r="I24" s="93">
        <v>0</v>
      </c>
      <c r="J24" s="93">
        <v>0</v>
      </c>
      <c r="K24" s="93">
        <v>0</v>
      </c>
      <c r="L24" s="93">
        <v>0</v>
      </c>
      <c r="M24" s="93">
        <v>0</v>
      </c>
      <c r="N24" s="93">
        <v>0</v>
      </c>
      <c r="O24" s="93">
        <v>0</v>
      </c>
      <c r="P24" s="93">
        <v>0</v>
      </c>
      <c r="Q24" s="93">
        <v>0</v>
      </c>
      <c r="R24" s="93">
        <v>0</v>
      </c>
      <c r="S24" s="93">
        <v>0</v>
      </c>
      <c r="T24" s="93">
        <v>0</v>
      </c>
      <c r="U24" s="93">
        <v>0</v>
      </c>
      <c r="V24" s="93">
        <v>0</v>
      </c>
      <c r="W24" s="93">
        <v>0</v>
      </c>
      <c r="X24" s="93">
        <v>0</v>
      </c>
      <c r="Y24" s="93">
        <v>0</v>
      </c>
      <c r="Z24" s="93">
        <v>0</v>
      </c>
      <c r="AA24" s="93">
        <v>0</v>
      </c>
      <c r="AB24" s="93">
        <v>0</v>
      </c>
      <c r="AC24" s="90" t="s">
        <v>1202</v>
      </c>
    </row>
    <row r="25" spans="1:29" ht="29" thickBot="1" x14ac:dyDescent="0.25">
      <c r="A25" s="87" t="s">
        <v>1203</v>
      </c>
      <c r="B25" s="88">
        <v>0</v>
      </c>
      <c r="C25" s="88">
        <v>0</v>
      </c>
      <c r="D25" s="88">
        <v>0</v>
      </c>
      <c r="E25" s="88">
        <v>0</v>
      </c>
      <c r="F25" s="88">
        <v>0</v>
      </c>
      <c r="G25" s="88">
        <v>0</v>
      </c>
      <c r="H25" s="88">
        <v>0</v>
      </c>
      <c r="I25" s="88">
        <v>0</v>
      </c>
      <c r="J25" s="88">
        <v>0</v>
      </c>
      <c r="K25" s="88">
        <v>0</v>
      </c>
      <c r="L25" s="88">
        <v>0</v>
      </c>
      <c r="M25" s="88">
        <v>0</v>
      </c>
      <c r="N25" s="88">
        <v>0</v>
      </c>
      <c r="O25" s="88">
        <v>0</v>
      </c>
      <c r="P25" s="88">
        <v>0</v>
      </c>
      <c r="Q25" s="88">
        <v>0</v>
      </c>
      <c r="R25" s="88">
        <v>0</v>
      </c>
      <c r="S25" s="88">
        <v>0</v>
      </c>
      <c r="T25" s="88">
        <v>0</v>
      </c>
      <c r="U25" s="88">
        <v>0</v>
      </c>
      <c r="V25" s="88">
        <v>0</v>
      </c>
      <c r="W25" s="88">
        <v>0</v>
      </c>
      <c r="X25" s="88">
        <v>0</v>
      </c>
      <c r="Y25" s="89">
        <v>0</v>
      </c>
      <c r="Z25" s="88">
        <v>0</v>
      </c>
      <c r="AA25" s="88">
        <v>0</v>
      </c>
      <c r="AB25" s="89">
        <v>0</v>
      </c>
      <c r="AC25" s="90" t="s">
        <v>1204</v>
      </c>
    </row>
    <row r="26" spans="1:29" ht="29" thickBot="1" x14ac:dyDescent="0.25">
      <c r="A26" s="87" t="s">
        <v>1205</v>
      </c>
      <c r="B26" s="88">
        <v>0</v>
      </c>
      <c r="C26" s="88">
        <v>0</v>
      </c>
      <c r="D26" s="88">
        <v>0</v>
      </c>
      <c r="E26" s="88">
        <v>-2152514</v>
      </c>
      <c r="F26" s="88">
        <v>0</v>
      </c>
      <c r="G26" s="88">
        <v>0</v>
      </c>
      <c r="H26" s="88">
        <v>0</v>
      </c>
      <c r="I26" s="88">
        <v>0</v>
      </c>
      <c r="J26" s="88">
        <v>0</v>
      </c>
      <c r="K26" s="88">
        <v>0</v>
      </c>
      <c r="L26" s="88">
        <v>0</v>
      </c>
      <c r="M26" s="88">
        <v>0</v>
      </c>
      <c r="N26" s="88">
        <v>0</v>
      </c>
      <c r="O26" s="88">
        <v>0</v>
      </c>
      <c r="P26" s="88">
        <v>0</v>
      </c>
      <c r="Q26" s="88">
        <v>0</v>
      </c>
      <c r="R26" s="88">
        <v>0</v>
      </c>
      <c r="S26" s="88">
        <v>0</v>
      </c>
      <c r="T26" s="88">
        <v>0</v>
      </c>
      <c r="U26" s="88">
        <v>0</v>
      </c>
      <c r="V26" s="88">
        <v>0</v>
      </c>
      <c r="W26" s="88">
        <v>0</v>
      </c>
      <c r="X26" s="88">
        <v>0</v>
      </c>
      <c r="Y26" s="89">
        <v>-2152514</v>
      </c>
      <c r="Z26" s="88">
        <v>0</v>
      </c>
      <c r="AA26" s="88">
        <v>0</v>
      </c>
      <c r="AB26" s="89">
        <v>-2152514</v>
      </c>
      <c r="AC26" s="90" t="s">
        <v>1206</v>
      </c>
    </row>
    <row r="27" spans="1:29" ht="29" thickBot="1" x14ac:dyDescent="0.25">
      <c r="A27" s="87" t="s">
        <v>1207</v>
      </c>
      <c r="B27" s="88">
        <v>0</v>
      </c>
      <c r="C27" s="88">
        <v>0</v>
      </c>
      <c r="D27" s="88">
        <v>0</v>
      </c>
      <c r="E27" s="88">
        <v>0</v>
      </c>
      <c r="F27" s="88">
        <v>0</v>
      </c>
      <c r="G27" s="88">
        <v>0</v>
      </c>
      <c r="H27" s="88">
        <v>0</v>
      </c>
      <c r="I27" s="88">
        <v>0</v>
      </c>
      <c r="J27" s="88">
        <v>0</v>
      </c>
      <c r="K27" s="88">
        <v>0</v>
      </c>
      <c r="L27" s="88">
        <v>0</v>
      </c>
      <c r="M27" s="88">
        <v>0</v>
      </c>
      <c r="N27" s="88">
        <v>0</v>
      </c>
      <c r="O27" s="88">
        <v>0</v>
      </c>
      <c r="P27" s="88">
        <v>0</v>
      </c>
      <c r="Q27" s="88">
        <v>0</v>
      </c>
      <c r="R27" s="88">
        <v>0</v>
      </c>
      <c r="S27" s="88">
        <v>0</v>
      </c>
      <c r="T27" s="88">
        <v>0</v>
      </c>
      <c r="U27" s="88">
        <v>0</v>
      </c>
      <c r="V27" s="88">
        <v>0</v>
      </c>
      <c r="W27" s="88">
        <v>0</v>
      </c>
      <c r="X27" s="88">
        <v>0</v>
      </c>
      <c r="Y27" s="89">
        <v>0</v>
      </c>
      <c r="Z27" s="88">
        <v>0</v>
      </c>
      <c r="AA27" s="88">
        <v>0</v>
      </c>
      <c r="AB27" s="89">
        <v>0</v>
      </c>
      <c r="AC27" s="90" t="s">
        <v>1208</v>
      </c>
    </row>
    <row r="28" spans="1:29" ht="29" thickBot="1" x14ac:dyDescent="0.25">
      <c r="A28" s="87" t="s">
        <v>1209</v>
      </c>
      <c r="B28" s="88">
        <v>0</v>
      </c>
      <c r="C28" s="88">
        <v>0</v>
      </c>
      <c r="D28" s="88">
        <v>0</v>
      </c>
      <c r="E28" s="88">
        <v>0</v>
      </c>
      <c r="F28" s="88">
        <v>0</v>
      </c>
      <c r="G28" s="88">
        <v>0</v>
      </c>
      <c r="H28" s="88">
        <v>0</v>
      </c>
      <c r="I28" s="88">
        <v>0</v>
      </c>
      <c r="J28" s="88">
        <v>0</v>
      </c>
      <c r="K28" s="88">
        <v>0</v>
      </c>
      <c r="L28" s="88">
        <v>0</v>
      </c>
      <c r="M28" s="88">
        <v>0</v>
      </c>
      <c r="N28" s="88">
        <v>0</v>
      </c>
      <c r="O28" s="88">
        <v>0</v>
      </c>
      <c r="P28" s="88">
        <v>0</v>
      </c>
      <c r="Q28" s="88">
        <v>0</v>
      </c>
      <c r="R28" s="88">
        <v>0</v>
      </c>
      <c r="S28" s="88">
        <v>0</v>
      </c>
      <c r="T28" s="88">
        <v>0</v>
      </c>
      <c r="U28" s="88">
        <v>0</v>
      </c>
      <c r="V28" s="88">
        <v>0</v>
      </c>
      <c r="W28" s="88">
        <v>0</v>
      </c>
      <c r="X28" s="88">
        <v>0</v>
      </c>
      <c r="Y28" s="89">
        <v>0</v>
      </c>
      <c r="Z28" s="88">
        <v>0</v>
      </c>
      <c r="AA28" s="88">
        <v>0</v>
      </c>
      <c r="AB28" s="89">
        <v>0</v>
      </c>
      <c r="AC28" s="90" t="s">
        <v>1210</v>
      </c>
    </row>
    <row r="29" spans="1:29" ht="16" thickBot="1" x14ac:dyDescent="0.25">
      <c r="A29" s="87" t="s">
        <v>1211</v>
      </c>
      <c r="B29" s="88">
        <v>0</v>
      </c>
      <c r="C29" s="88">
        <v>0</v>
      </c>
      <c r="D29" s="88">
        <v>0</v>
      </c>
      <c r="E29" s="88">
        <v>0</v>
      </c>
      <c r="F29" s="88">
        <v>0</v>
      </c>
      <c r="G29" s="88">
        <v>0</v>
      </c>
      <c r="H29" s="88">
        <v>0</v>
      </c>
      <c r="I29" s="88">
        <v>0</v>
      </c>
      <c r="J29" s="88">
        <v>0</v>
      </c>
      <c r="K29" s="88">
        <v>0</v>
      </c>
      <c r="L29" s="88">
        <v>0</v>
      </c>
      <c r="M29" s="88">
        <v>0</v>
      </c>
      <c r="N29" s="88">
        <v>0</v>
      </c>
      <c r="O29" s="88">
        <v>0</v>
      </c>
      <c r="P29" s="88">
        <v>0</v>
      </c>
      <c r="Q29" s="88">
        <v>0</v>
      </c>
      <c r="R29" s="88">
        <v>0</v>
      </c>
      <c r="S29" s="88">
        <v>0</v>
      </c>
      <c r="T29" s="88">
        <v>0</v>
      </c>
      <c r="U29" s="88">
        <v>0</v>
      </c>
      <c r="V29" s="88">
        <v>0</v>
      </c>
      <c r="W29" s="88">
        <v>0</v>
      </c>
      <c r="X29" s="88">
        <v>0</v>
      </c>
      <c r="Y29" s="89">
        <v>0</v>
      </c>
      <c r="Z29" s="88">
        <v>0</v>
      </c>
      <c r="AA29" s="88">
        <v>0</v>
      </c>
      <c r="AB29" s="89">
        <v>0</v>
      </c>
      <c r="AC29" s="90" t="s">
        <v>1212</v>
      </c>
    </row>
    <row r="30" spans="1:29" ht="29" thickBot="1" x14ac:dyDescent="0.25">
      <c r="A30" s="87" t="s">
        <v>1213</v>
      </c>
      <c r="B30" s="88">
        <v>0</v>
      </c>
      <c r="C30" s="88">
        <v>0</v>
      </c>
      <c r="D30" s="88">
        <v>0</v>
      </c>
      <c r="E30" s="88">
        <v>0</v>
      </c>
      <c r="F30" s="88">
        <v>0</v>
      </c>
      <c r="G30" s="88">
        <v>0</v>
      </c>
      <c r="H30" s="88">
        <v>0</v>
      </c>
      <c r="I30" s="88">
        <v>0</v>
      </c>
      <c r="J30" s="88">
        <v>0</v>
      </c>
      <c r="K30" s="88">
        <v>0</v>
      </c>
      <c r="L30" s="88">
        <v>0</v>
      </c>
      <c r="M30" s="88">
        <v>0</v>
      </c>
      <c r="N30" s="88">
        <v>0</v>
      </c>
      <c r="O30" s="88">
        <v>0</v>
      </c>
      <c r="P30" s="88">
        <v>0</v>
      </c>
      <c r="Q30" s="88">
        <v>0</v>
      </c>
      <c r="R30" s="88">
        <v>0</v>
      </c>
      <c r="S30" s="88">
        <v>0</v>
      </c>
      <c r="T30" s="88">
        <v>0</v>
      </c>
      <c r="U30" s="88">
        <v>0</v>
      </c>
      <c r="V30" s="88">
        <v>0</v>
      </c>
      <c r="W30" s="88">
        <v>0</v>
      </c>
      <c r="X30" s="88">
        <v>0</v>
      </c>
      <c r="Y30" s="89">
        <v>0</v>
      </c>
      <c r="Z30" s="88">
        <v>0</v>
      </c>
      <c r="AA30" s="88">
        <v>0</v>
      </c>
      <c r="AB30" s="89">
        <v>0</v>
      </c>
      <c r="AC30" s="90" t="s">
        <v>1214</v>
      </c>
    </row>
    <row r="31" spans="1:29" ht="29" thickBot="1" x14ac:dyDescent="0.25">
      <c r="A31" s="87" t="s">
        <v>1215</v>
      </c>
      <c r="B31" s="88">
        <v>0</v>
      </c>
      <c r="C31" s="88">
        <v>0</v>
      </c>
      <c r="D31" s="88">
        <v>0</v>
      </c>
      <c r="E31" s="88">
        <v>0</v>
      </c>
      <c r="F31" s="88">
        <v>0</v>
      </c>
      <c r="G31" s="88">
        <v>0</v>
      </c>
      <c r="H31" s="88">
        <v>0</v>
      </c>
      <c r="I31" s="88">
        <v>0</v>
      </c>
      <c r="J31" s="88">
        <v>0</v>
      </c>
      <c r="K31" s="88">
        <v>0</v>
      </c>
      <c r="L31" s="88">
        <v>0</v>
      </c>
      <c r="M31" s="88">
        <v>0</v>
      </c>
      <c r="N31" s="88">
        <v>0</v>
      </c>
      <c r="O31" s="88">
        <v>0</v>
      </c>
      <c r="P31" s="88">
        <v>0</v>
      </c>
      <c r="Q31" s="88">
        <v>0</v>
      </c>
      <c r="R31" s="88">
        <v>0</v>
      </c>
      <c r="S31" s="88">
        <v>0</v>
      </c>
      <c r="T31" s="88">
        <v>0</v>
      </c>
      <c r="U31" s="88">
        <v>0</v>
      </c>
      <c r="V31" s="88">
        <v>0</v>
      </c>
      <c r="W31" s="88">
        <v>0</v>
      </c>
      <c r="X31" s="88">
        <v>0</v>
      </c>
      <c r="Y31" s="89">
        <v>0</v>
      </c>
      <c r="Z31" s="88">
        <v>0</v>
      </c>
      <c r="AA31" s="88">
        <v>0</v>
      </c>
      <c r="AB31" s="89">
        <v>0</v>
      </c>
      <c r="AC31" s="90" t="s">
        <v>1216</v>
      </c>
    </row>
    <row r="32" spans="1:29" ht="29" thickBot="1" x14ac:dyDescent="0.25">
      <c r="A32" s="87" t="s">
        <v>1217</v>
      </c>
      <c r="B32" s="88">
        <v>0</v>
      </c>
      <c r="C32" s="88">
        <v>0</v>
      </c>
      <c r="D32" s="88">
        <v>0</v>
      </c>
      <c r="E32" s="88">
        <v>0</v>
      </c>
      <c r="F32" s="88">
        <v>0</v>
      </c>
      <c r="G32" s="88">
        <v>0</v>
      </c>
      <c r="H32" s="88">
        <v>0</v>
      </c>
      <c r="I32" s="88">
        <v>0</v>
      </c>
      <c r="J32" s="88">
        <v>0</v>
      </c>
      <c r="K32" s="88">
        <v>0</v>
      </c>
      <c r="L32" s="88">
        <v>0</v>
      </c>
      <c r="M32" s="88">
        <v>0</v>
      </c>
      <c r="N32" s="88">
        <v>0</v>
      </c>
      <c r="O32" s="88">
        <v>0</v>
      </c>
      <c r="P32" s="88">
        <v>0</v>
      </c>
      <c r="Q32" s="88">
        <v>0</v>
      </c>
      <c r="R32" s="88">
        <v>0</v>
      </c>
      <c r="S32" s="88">
        <v>0</v>
      </c>
      <c r="T32" s="88">
        <v>0</v>
      </c>
      <c r="U32" s="88">
        <v>0</v>
      </c>
      <c r="V32" s="88">
        <v>0</v>
      </c>
      <c r="W32" s="88">
        <v>0</v>
      </c>
      <c r="X32" s="88">
        <v>0</v>
      </c>
      <c r="Y32" s="89">
        <v>0</v>
      </c>
      <c r="Z32" s="88">
        <v>0</v>
      </c>
      <c r="AA32" s="88">
        <v>0</v>
      </c>
      <c r="AB32" s="89">
        <v>0</v>
      </c>
      <c r="AC32" s="90" t="s">
        <v>1218</v>
      </c>
    </row>
    <row r="33" spans="1:29" ht="29" thickBot="1" x14ac:dyDescent="0.25">
      <c r="A33" s="87" t="s">
        <v>1219</v>
      </c>
      <c r="B33" s="88">
        <v>0</v>
      </c>
      <c r="C33" s="88">
        <v>0</v>
      </c>
      <c r="D33" s="88">
        <v>0</v>
      </c>
      <c r="E33" s="88">
        <v>0</v>
      </c>
      <c r="F33" s="88">
        <v>0</v>
      </c>
      <c r="G33" s="88">
        <v>0</v>
      </c>
      <c r="H33" s="88">
        <v>0</v>
      </c>
      <c r="I33" s="88">
        <v>0</v>
      </c>
      <c r="J33" s="88">
        <v>0</v>
      </c>
      <c r="K33" s="88">
        <v>0</v>
      </c>
      <c r="L33" s="88">
        <v>0</v>
      </c>
      <c r="M33" s="88">
        <v>0</v>
      </c>
      <c r="N33" s="88">
        <v>0</v>
      </c>
      <c r="O33" s="88">
        <v>0</v>
      </c>
      <c r="P33" s="88">
        <v>0</v>
      </c>
      <c r="Q33" s="88">
        <v>0</v>
      </c>
      <c r="R33" s="88">
        <v>0</v>
      </c>
      <c r="S33" s="88">
        <v>0</v>
      </c>
      <c r="T33" s="88">
        <v>0</v>
      </c>
      <c r="U33" s="88">
        <v>0</v>
      </c>
      <c r="V33" s="88">
        <v>0</v>
      </c>
      <c r="W33" s="88">
        <v>0</v>
      </c>
      <c r="X33" s="88">
        <v>0</v>
      </c>
      <c r="Y33" s="89">
        <v>0</v>
      </c>
      <c r="Z33" s="88">
        <v>0</v>
      </c>
      <c r="AA33" s="88">
        <v>0</v>
      </c>
      <c r="AB33" s="89">
        <v>0</v>
      </c>
      <c r="AC33" s="90" t="s">
        <v>1220</v>
      </c>
    </row>
    <row r="34" spans="1:29" ht="43" thickBot="1" x14ac:dyDescent="0.25">
      <c r="A34" s="87" t="s">
        <v>1221</v>
      </c>
      <c r="B34" s="93">
        <v>0</v>
      </c>
      <c r="C34" s="93">
        <v>0</v>
      </c>
      <c r="D34" s="93">
        <v>0</v>
      </c>
      <c r="E34" s="93">
        <v>0</v>
      </c>
      <c r="F34" s="93">
        <v>0</v>
      </c>
      <c r="G34" s="93">
        <v>0</v>
      </c>
      <c r="H34" s="93">
        <v>0</v>
      </c>
      <c r="I34" s="93">
        <v>0</v>
      </c>
      <c r="J34" s="93">
        <v>0</v>
      </c>
      <c r="K34" s="93">
        <v>0</v>
      </c>
      <c r="L34" s="93">
        <v>0</v>
      </c>
      <c r="M34" s="93">
        <v>0</v>
      </c>
      <c r="N34" s="93">
        <v>0</v>
      </c>
      <c r="O34" s="93">
        <v>0</v>
      </c>
      <c r="P34" s="93">
        <v>0</v>
      </c>
      <c r="Q34" s="93">
        <v>0</v>
      </c>
      <c r="R34" s="93">
        <v>0</v>
      </c>
      <c r="S34" s="93">
        <v>0</v>
      </c>
      <c r="T34" s="93">
        <v>0</v>
      </c>
      <c r="U34" s="93">
        <v>0</v>
      </c>
      <c r="V34" s="93">
        <v>0</v>
      </c>
      <c r="W34" s="93">
        <v>0</v>
      </c>
      <c r="X34" s="93">
        <v>0</v>
      </c>
      <c r="Y34" s="93">
        <v>0</v>
      </c>
      <c r="Z34" s="93">
        <v>0</v>
      </c>
      <c r="AA34" s="93">
        <v>0</v>
      </c>
      <c r="AB34" s="93">
        <v>0</v>
      </c>
      <c r="AC34" s="90" t="s">
        <v>1222</v>
      </c>
    </row>
    <row r="35" spans="1:29" ht="43" thickBot="1" x14ac:dyDescent="0.25">
      <c r="A35" s="87" t="s">
        <v>1223</v>
      </c>
      <c r="B35" s="93">
        <v>0</v>
      </c>
      <c r="C35" s="93">
        <v>0</v>
      </c>
      <c r="D35" s="93">
        <v>0</v>
      </c>
      <c r="E35" s="93">
        <v>0</v>
      </c>
      <c r="F35" s="93">
        <v>0</v>
      </c>
      <c r="G35" s="93">
        <v>0</v>
      </c>
      <c r="H35" s="93">
        <v>0</v>
      </c>
      <c r="I35" s="93">
        <v>0</v>
      </c>
      <c r="J35" s="93">
        <v>0</v>
      </c>
      <c r="K35" s="93">
        <v>0</v>
      </c>
      <c r="L35" s="93">
        <v>0</v>
      </c>
      <c r="M35" s="93">
        <v>0</v>
      </c>
      <c r="N35" s="93">
        <v>0</v>
      </c>
      <c r="O35" s="93">
        <v>0</v>
      </c>
      <c r="P35" s="93">
        <v>0</v>
      </c>
      <c r="Q35" s="93">
        <v>0</v>
      </c>
      <c r="R35" s="93">
        <v>0</v>
      </c>
      <c r="S35" s="93">
        <v>0</v>
      </c>
      <c r="T35" s="93">
        <v>0</v>
      </c>
      <c r="U35" s="93">
        <v>0</v>
      </c>
      <c r="V35" s="93">
        <v>0</v>
      </c>
      <c r="W35" s="93">
        <v>0</v>
      </c>
      <c r="X35" s="93">
        <v>0</v>
      </c>
      <c r="Y35" s="93">
        <v>0</v>
      </c>
      <c r="Z35" s="93">
        <v>0</v>
      </c>
      <c r="AA35" s="93">
        <v>0</v>
      </c>
      <c r="AB35" s="93">
        <v>0</v>
      </c>
      <c r="AC35" s="90" t="s">
        <v>1224</v>
      </c>
    </row>
    <row r="36" spans="1:29" ht="71" thickBot="1" x14ac:dyDescent="0.25">
      <c r="A36" s="87" t="s">
        <v>1225</v>
      </c>
      <c r="B36" s="93">
        <v>0</v>
      </c>
      <c r="C36" s="93">
        <v>0</v>
      </c>
      <c r="D36" s="93">
        <v>0</v>
      </c>
      <c r="E36" s="93">
        <v>0</v>
      </c>
      <c r="F36" s="93">
        <v>0</v>
      </c>
      <c r="G36" s="93">
        <v>0</v>
      </c>
      <c r="H36" s="93">
        <v>0</v>
      </c>
      <c r="I36" s="93">
        <v>0</v>
      </c>
      <c r="J36" s="93">
        <v>0</v>
      </c>
      <c r="K36" s="93">
        <v>0</v>
      </c>
      <c r="L36" s="93">
        <v>0</v>
      </c>
      <c r="M36" s="93">
        <v>0</v>
      </c>
      <c r="N36" s="93">
        <v>0</v>
      </c>
      <c r="O36" s="93">
        <v>0</v>
      </c>
      <c r="P36" s="93">
        <v>0</v>
      </c>
      <c r="Q36" s="93">
        <v>0</v>
      </c>
      <c r="R36" s="93">
        <v>0</v>
      </c>
      <c r="S36" s="93">
        <v>0</v>
      </c>
      <c r="T36" s="93">
        <v>0</v>
      </c>
      <c r="U36" s="93">
        <v>0</v>
      </c>
      <c r="V36" s="93">
        <v>0</v>
      </c>
      <c r="W36" s="93">
        <v>0</v>
      </c>
      <c r="X36" s="93">
        <v>0</v>
      </c>
      <c r="Y36" s="93">
        <v>0</v>
      </c>
      <c r="Z36" s="93">
        <v>0</v>
      </c>
      <c r="AA36" s="93">
        <v>0</v>
      </c>
      <c r="AB36" s="93">
        <v>0</v>
      </c>
      <c r="AC36" s="90" t="s">
        <v>1226</v>
      </c>
    </row>
    <row r="37" spans="1:29" ht="43" thickBot="1" x14ac:dyDescent="0.25">
      <c r="A37" s="87" t="s">
        <v>1227</v>
      </c>
      <c r="B37" s="88">
        <v>0</v>
      </c>
      <c r="C37" s="88">
        <v>0</v>
      </c>
      <c r="D37" s="88">
        <v>-56659</v>
      </c>
      <c r="E37" s="88">
        <v>0</v>
      </c>
      <c r="F37" s="88">
        <v>0</v>
      </c>
      <c r="G37" s="88">
        <v>0</v>
      </c>
      <c r="H37" s="88">
        <v>0</v>
      </c>
      <c r="I37" s="88">
        <v>0</v>
      </c>
      <c r="J37" s="88">
        <v>0</v>
      </c>
      <c r="K37" s="88">
        <v>0</v>
      </c>
      <c r="L37" s="88">
        <v>0</v>
      </c>
      <c r="M37" s="88">
        <v>0</v>
      </c>
      <c r="N37" s="88">
        <v>0</v>
      </c>
      <c r="O37" s="88">
        <v>0</v>
      </c>
      <c r="P37" s="88">
        <v>0</v>
      </c>
      <c r="Q37" s="88">
        <v>0</v>
      </c>
      <c r="R37" s="88">
        <v>0</v>
      </c>
      <c r="S37" s="88">
        <v>0</v>
      </c>
      <c r="T37" s="88">
        <v>0</v>
      </c>
      <c r="U37" s="88">
        <v>0</v>
      </c>
      <c r="V37" s="88">
        <v>0</v>
      </c>
      <c r="W37" s="88">
        <v>0</v>
      </c>
      <c r="X37" s="88">
        <v>0</v>
      </c>
      <c r="Y37" s="89">
        <v>-56659</v>
      </c>
      <c r="Z37" s="88">
        <v>0</v>
      </c>
      <c r="AA37" s="88">
        <v>0</v>
      </c>
      <c r="AB37" s="89">
        <v>-56659</v>
      </c>
      <c r="AC37" s="90" t="s">
        <v>1228</v>
      </c>
    </row>
    <row r="38" spans="1:29" ht="29" thickBot="1" x14ac:dyDescent="0.25">
      <c r="A38" s="87" t="s">
        <v>1229</v>
      </c>
      <c r="B38" s="93">
        <v>0</v>
      </c>
      <c r="C38" s="93">
        <v>0</v>
      </c>
      <c r="D38" s="93">
        <v>0</v>
      </c>
      <c r="E38" s="93">
        <v>0</v>
      </c>
      <c r="F38" s="93">
        <v>0</v>
      </c>
      <c r="G38" s="93">
        <v>0</v>
      </c>
      <c r="H38" s="93">
        <v>0</v>
      </c>
      <c r="I38" s="93">
        <v>0</v>
      </c>
      <c r="J38" s="93">
        <v>0</v>
      </c>
      <c r="K38" s="93">
        <v>0</v>
      </c>
      <c r="L38" s="93">
        <v>0</v>
      </c>
      <c r="M38" s="93">
        <v>0</v>
      </c>
      <c r="N38" s="93">
        <v>0</v>
      </c>
      <c r="O38" s="93">
        <v>0</v>
      </c>
      <c r="P38" s="93">
        <v>0</v>
      </c>
      <c r="Q38" s="93">
        <v>0</v>
      </c>
      <c r="R38" s="93">
        <v>0</v>
      </c>
      <c r="S38" s="93">
        <v>0</v>
      </c>
      <c r="T38" s="93">
        <v>0</v>
      </c>
      <c r="U38" s="93">
        <v>0</v>
      </c>
      <c r="V38" s="93">
        <v>0</v>
      </c>
      <c r="W38" s="93">
        <v>0</v>
      </c>
      <c r="X38" s="93">
        <v>0</v>
      </c>
      <c r="Y38" s="93">
        <v>0</v>
      </c>
      <c r="Z38" s="93">
        <v>0</v>
      </c>
      <c r="AA38" s="93">
        <v>0</v>
      </c>
      <c r="AB38" s="93">
        <v>0</v>
      </c>
      <c r="AC38" s="90" t="s">
        <v>1230</v>
      </c>
    </row>
    <row r="39" spans="1:29" ht="16" thickBot="1" x14ac:dyDescent="0.25">
      <c r="A39" s="87" t="s">
        <v>1231</v>
      </c>
      <c r="B39" s="88">
        <v>0</v>
      </c>
      <c r="C39" s="88">
        <v>0</v>
      </c>
      <c r="D39" s="88">
        <v>0</v>
      </c>
      <c r="E39" s="88">
        <v>0</v>
      </c>
      <c r="F39" s="88">
        <v>0</v>
      </c>
      <c r="G39" s="88">
        <v>0</v>
      </c>
      <c r="H39" s="88">
        <v>0</v>
      </c>
      <c r="I39" s="88">
        <v>0</v>
      </c>
      <c r="J39" s="88">
        <v>0</v>
      </c>
      <c r="K39" s="88">
        <v>0</v>
      </c>
      <c r="L39" s="88">
        <v>0</v>
      </c>
      <c r="M39" s="88">
        <v>0</v>
      </c>
      <c r="N39" s="88">
        <v>0</v>
      </c>
      <c r="O39" s="88">
        <v>0</v>
      </c>
      <c r="P39" s="88">
        <v>0</v>
      </c>
      <c r="Q39" s="88">
        <v>0</v>
      </c>
      <c r="R39" s="88">
        <v>0</v>
      </c>
      <c r="S39" s="88">
        <v>0</v>
      </c>
      <c r="T39" s="88">
        <v>0</v>
      </c>
      <c r="U39" s="88">
        <v>0</v>
      </c>
      <c r="V39" s="88">
        <v>0</v>
      </c>
      <c r="W39" s="88">
        <v>0</v>
      </c>
      <c r="X39" s="88">
        <v>0</v>
      </c>
      <c r="Y39" s="89">
        <v>0</v>
      </c>
      <c r="Z39" s="88">
        <v>0</v>
      </c>
      <c r="AA39" s="88">
        <v>0</v>
      </c>
      <c r="AB39" s="89">
        <v>0</v>
      </c>
      <c r="AC39" s="90" t="s">
        <v>1232</v>
      </c>
    </row>
    <row r="40" spans="1:29" ht="29" thickBot="1" x14ac:dyDescent="0.25">
      <c r="A40" s="87" t="s">
        <v>1233</v>
      </c>
      <c r="B40" s="88">
        <v>0</v>
      </c>
      <c r="C40" s="88">
        <v>0</v>
      </c>
      <c r="D40" s="88">
        <v>0</v>
      </c>
      <c r="E40" s="88">
        <v>0</v>
      </c>
      <c r="F40" s="88">
        <v>0</v>
      </c>
      <c r="G40" s="88">
        <v>0</v>
      </c>
      <c r="H40" s="88">
        <v>0</v>
      </c>
      <c r="I40" s="88">
        <v>0</v>
      </c>
      <c r="J40" s="88">
        <v>0</v>
      </c>
      <c r="K40" s="88">
        <v>0</v>
      </c>
      <c r="L40" s="88">
        <v>0</v>
      </c>
      <c r="M40" s="88">
        <v>0</v>
      </c>
      <c r="N40" s="88">
        <v>0</v>
      </c>
      <c r="O40" s="88">
        <v>0</v>
      </c>
      <c r="P40" s="88">
        <v>0</v>
      </c>
      <c r="Q40" s="88">
        <v>0</v>
      </c>
      <c r="R40" s="88">
        <v>0</v>
      </c>
      <c r="S40" s="88">
        <v>0</v>
      </c>
      <c r="T40" s="88">
        <v>0</v>
      </c>
      <c r="U40" s="88">
        <v>0</v>
      </c>
      <c r="V40" s="88">
        <v>0</v>
      </c>
      <c r="W40" s="88">
        <v>0</v>
      </c>
      <c r="X40" s="88">
        <v>0</v>
      </c>
      <c r="Y40" s="89">
        <v>0</v>
      </c>
      <c r="Z40" s="88">
        <v>0</v>
      </c>
      <c r="AA40" s="88">
        <v>0</v>
      </c>
      <c r="AB40" s="89">
        <v>0</v>
      </c>
      <c r="AC40" s="90" t="s">
        <v>1234</v>
      </c>
    </row>
    <row r="41" spans="1:29" ht="29" thickBot="1" x14ac:dyDescent="0.25">
      <c r="A41" s="87" t="s">
        <v>1235</v>
      </c>
      <c r="B41" s="88">
        <v>0</v>
      </c>
      <c r="C41" s="88">
        <v>0</v>
      </c>
      <c r="D41" s="88">
        <v>0</v>
      </c>
      <c r="E41" s="88">
        <v>0</v>
      </c>
      <c r="F41" s="88">
        <v>0</v>
      </c>
      <c r="G41" s="88">
        <v>0</v>
      </c>
      <c r="H41" s="88">
        <v>0</v>
      </c>
      <c r="I41" s="88">
        <v>0</v>
      </c>
      <c r="J41" s="88">
        <v>0</v>
      </c>
      <c r="K41" s="88">
        <v>0</v>
      </c>
      <c r="L41" s="88">
        <v>0</v>
      </c>
      <c r="M41" s="88">
        <v>0</v>
      </c>
      <c r="N41" s="88">
        <v>0</v>
      </c>
      <c r="O41" s="88">
        <v>0</v>
      </c>
      <c r="P41" s="88">
        <v>0</v>
      </c>
      <c r="Q41" s="88">
        <v>0</v>
      </c>
      <c r="R41" s="88">
        <v>0</v>
      </c>
      <c r="S41" s="88">
        <v>0</v>
      </c>
      <c r="T41" s="88">
        <v>0</v>
      </c>
      <c r="U41" s="88">
        <v>0</v>
      </c>
      <c r="V41" s="88">
        <v>0</v>
      </c>
      <c r="W41" s="88">
        <v>0</v>
      </c>
      <c r="X41" s="88">
        <v>0</v>
      </c>
      <c r="Y41" s="89">
        <v>0</v>
      </c>
      <c r="Z41" s="88">
        <v>0</v>
      </c>
      <c r="AA41" s="88">
        <v>0</v>
      </c>
      <c r="AB41" s="89">
        <v>0</v>
      </c>
      <c r="AC41" s="90" t="s">
        <v>1236</v>
      </c>
    </row>
    <row r="42" spans="1:29" ht="16" thickBot="1" x14ac:dyDescent="0.25">
      <c r="A42" s="87" t="s">
        <v>1237</v>
      </c>
      <c r="B42" s="88">
        <v>0</v>
      </c>
      <c r="C42" s="88">
        <v>0</v>
      </c>
      <c r="D42" s="88">
        <v>0</v>
      </c>
      <c r="E42" s="88">
        <v>0</v>
      </c>
      <c r="F42" s="88">
        <v>0</v>
      </c>
      <c r="G42" s="88">
        <v>0</v>
      </c>
      <c r="H42" s="88">
        <v>0</v>
      </c>
      <c r="I42" s="88">
        <v>0</v>
      </c>
      <c r="J42" s="88">
        <v>-457789</v>
      </c>
      <c r="K42" s="88">
        <v>0</v>
      </c>
      <c r="L42" s="88">
        <v>0</v>
      </c>
      <c r="M42" s="88">
        <v>0</v>
      </c>
      <c r="N42" s="88">
        <v>0</v>
      </c>
      <c r="O42" s="88">
        <v>0</v>
      </c>
      <c r="P42" s="88">
        <v>0</v>
      </c>
      <c r="Q42" s="88">
        <v>0</v>
      </c>
      <c r="R42" s="88">
        <v>0</v>
      </c>
      <c r="S42" s="88">
        <v>0</v>
      </c>
      <c r="T42" s="88">
        <v>0</v>
      </c>
      <c r="U42" s="88">
        <v>-1385</v>
      </c>
      <c r="V42" s="88">
        <v>0</v>
      </c>
      <c r="W42" s="88">
        <v>0</v>
      </c>
      <c r="X42" s="88">
        <v>206805</v>
      </c>
      <c r="Y42" s="89">
        <v>-252369</v>
      </c>
      <c r="Z42" s="88">
        <v>0</v>
      </c>
      <c r="AA42" s="88">
        <v>0</v>
      </c>
      <c r="AB42" s="89">
        <v>-252369</v>
      </c>
      <c r="AC42" s="90" t="s">
        <v>1238</v>
      </c>
    </row>
    <row r="43" spans="1:29" ht="16" thickBot="1" x14ac:dyDescent="0.25">
      <c r="A43" s="91" t="s">
        <v>1239</v>
      </c>
      <c r="B43" s="89">
        <v>1540938</v>
      </c>
      <c r="C43" s="89">
        <v>0</v>
      </c>
      <c r="D43" s="89">
        <v>5492318</v>
      </c>
      <c r="E43" s="89">
        <v>-2152514</v>
      </c>
      <c r="F43" s="89">
        <v>0</v>
      </c>
      <c r="G43" s="89">
        <v>0</v>
      </c>
      <c r="H43" s="89">
        <v>0</v>
      </c>
      <c r="I43" s="89">
        <v>11378973</v>
      </c>
      <c r="J43" s="89">
        <v>0</v>
      </c>
      <c r="K43" s="89">
        <v>2108873</v>
      </c>
      <c r="L43" s="89">
        <v>0</v>
      </c>
      <c r="M43" s="89">
        <v>0</v>
      </c>
      <c r="N43" s="89">
        <v>0</v>
      </c>
      <c r="O43" s="89">
        <v>0</v>
      </c>
      <c r="P43" s="89">
        <v>0</v>
      </c>
      <c r="Q43" s="89">
        <v>0</v>
      </c>
      <c r="R43" s="89">
        <v>0</v>
      </c>
      <c r="S43" s="89">
        <v>0</v>
      </c>
      <c r="T43" s="89">
        <v>0</v>
      </c>
      <c r="U43" s="89">
        <v>-91070</v>
      </c>
      <c r="V43" s="89">
        <v>4268903</v>
      </c>
      <c r="W43" s="89">
        <v>0</v>
      </c>
      <c r="X43" s="89">
        <v>258920057</v>
      </c>
      <c r="Y43" s="89">
        <v>281466478</v>
      </c>
      <c r="Z43" s="89">
        <v>0</v>
      </c>
      <c r="AA43" s="89">
        <v>221077</v>
      </c>
      <c r="AB43" s="89">
        <v>281687555</v>
      </c>
      <c r="AC43" s="85"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baseColWidth="10" defaultColWidth="9.3984375" defaultRowHeight="15" x14ac:dyDescent="0.2"/>
  <cols>
    <col min="1" max="1" width="42.59765625" style="95" bestFit="1" customWidth="1" collapsed="1"/>
    <col min="2" max="28" width="33.3984375" style="95" customWidth="1" collapsed="1"/>
    <col min="29" max="29" width="42.59765625" style="95" bestFit="1" customWidth="1" collapsed="1"/>
    <col min="30" max="16384" width="9.3984375" style="95" collapsed="1"/>
  </cols>
  <sheetData>
    <row r="1" spans="1:29" ht="18" x14ac:dyDescent="0.2">
      <c r="A1" s="94" t="s">
        <v>1241</v>
      </c>
    </row>
    <row r="3" spans="1:29" ht="17.25" customHeight="1" x14ac:dyDescent="0.2">
      <c r="A3" s="561" t="s">
        <v>1151</v>
      </c>
      <c r="B3" s="561"/>
      <c r="C3" s="561"/>
      <c r="D3" s="561"/>
      <c r="E3" s="561"/>
      <c r="F3" s="561"/>
      <c r="G3" s="561"/>
      <c r="H3" s="561"/>
      <c r="I3" s="561"/>
      <c r="J3" s="561"/>
      <c r="K3" s="561"/>
      <c r="L3" s="561"/>
      <c r="M3" s="561"/>
      <c r="N3" s="561"/>
      <c r="O3" s="562" t="s">
        <v>1152</v>
      </c>
      <c r="P3" s="562"/>
      <c r="Q3" s="562"/>
      <c r="R3" s="562"/>
      <c r="S3" s="562"/>
      <c r="T3" s="562"/>
      <c r="U3" s="562"/>
      <c r="V3" s="562"/>
      <c r="W3" s="562"/>
      <c r="X3" s="562"/>
      <c r="Y3" s="562"/>
      <c r="Z3" s="562"/>
      <c r="AA3" s="562"/>
      <c r="AB3" s="562"/>
      <c r="AC3" s="562"/>
    </row>
    <row r="4" spans="1:29" ht="57" x14ac:dyDescent="0.2">
      <c r="A4" s="563"/>
      <c r="B4" s="96" t="s">
        <v>823</v>
      </c>
      <c r="C4" s="96" t="s">
        <v>825</v>
      </c>
      <c r="D4" s="96" t="s">
        <v>827</v>
      </c>
      <c r="E4" s="96" t="s">
        <v>829</v>
      </c>
      <c r="F4" s="96" t="s">
        <v>831</v>
      </c>
      <c r="G4" s="96" t="s">
        <v>833</v>
      </c>
      <c r="H4" s="96" t="s">
        <v>835</v>
      </c>
      <c r="I4" s="96" t="s">
        <v>837</v>
      </c>
      <c r="J4" s="96" t="s">
        <v>839</v>
      </c>
      <c r="K4" s="96" t="s">
        <v>841</v>
      </c>
      <c r="L4" s="96" t="s">
        <v>843</v>
      </c>
      <c r="M4" s="96" t="s">
        <v>845</v>
      </c>
      <c r="N4" s="96" t="s">
        <v>847</v>
      </c>
      <c r="O4" s="96" t="s">
        <v>849</v>
      </c>
      <c r="P4" s="96" t="s">
        <v>851</v>
      </c>
      <c r="Q4" s="96" t="s">
        <v>853</v>
      </c>
      <c r="R4" s="96" t="s">
        <v>1153</v>
      </c>
      <c r="S4" s="96" t="s">
        <v>1154</v>
      </c>
      <c r="T4" s="96" t="s">
        <v>1155</v>
      </c>
      <c r="U4" s="96" t="s">
        <v>1156</v>
      </c>
      <c r="V4" s="96" t="s">
        <v>1157</v>
      </c>
      <c r="W4" s="96" t="s">
        <v>1158</v>
      </c>
      <c r="X4" s="96" t="s">
        <v>865</v>
      </c>
      <c r="Y4" s="96" t="s">
        <v>1159</v>
      </c>
      <c r="Z4" s="96" t="s">
        <v>869</v>
      </c>
      <c r="AA4" s="96" t="s">
        <v>871</v>
      </c>
      <c r="AB4" s="96" t="s">
        <v>819</v>
      </c>
      <c r="AC4" s="563"/>
    </row>
    <row r="5" spans="1:29" ht="37" x14ac:dyDescent="0.2">
      <c r="A5" s="563"/>
      <c r="B5" s="97" t="s">
        <v>822</v>
      </c>
      <c r="C5" s="97" t="s">
        <v>824</v>
      </c>
      <c r="D5" s="97" t="s">
        <v>826</v>
      </c>
      <c r="E5" s="97" t="s">
        <v>828</v>
      </c>
      <c r="F5" s="97" t="s">
        <v>830</v>
      </c>
      <c r="G5" s="97" t="s">
        <v>832</v>
      </c>
      <c r="H5" s="97" t="s">
        <v>834</v>
      </c>
      <c r="I5" s="97" t="s">
        <v>836</v>
      </c>
      <c r="J5" s="97" t="s">
        <v>838</v>
      </c>
      <c r="K5" s="97" t="s">
        <v>840</v>
      </c>
      <c r="L5" s="97" t="s">
        <v>842</v>
      </c>
      <c r="M5" s="97" t="s">
        <v>844</v>
      </c>
      <c r="N5" s="97" t="s">
        <v>846</v>
      </c>
      <c r="O5" s="97" t="s">
        <v>848</v>
      </c>
      <c r="P5" s="97" t="s">
        <v>850</v>
      </c>
      <c r="Q5" s="97" t="s">
        <v>852</v>
      </c>
      <c r="R5" s="97" t="s">
        <v>1160</v>
      </c>
      <c r="S5" s="97" t="s">
        <v>1161</v>
      </c>
      <c r="T5" s="97" t="s">
        <v>1162</v>
      </c>
      <c r="U5" s="97" t="s">
        <v>1163</v>
      </c>
      <c r="V5" s="97" t="s">
        <v>1164</v>
      </c>
      <c r="W5" s="97" t="s">
        <v>1165</v>
      </c>
      <c r="X5" s="97" t="s">
        <v>864</v>
      </c>
      <c r="Y5" s="97" t="s">
        <v>1166</v>
      </c>
      <c r="Z5" s="97" t="s">
        <v>868</v>
      </c>
      <c r="AA5" s="97" t="s">
        <v>870</v>
      </c>
      <c r="AB5" s="97" t="s">
        <v>818</v>
      </c>
      <c r="AC5" s="563"/>
    </row>
    <row r="6" spans="1:29" ht="29" thickBot="1" x14ac:dyDescent="0.25">
      <c r="A6" s="98" t="s">
        <v>1167</v>
      </c>
      <c r="B6" s="99"/>
      <c r="C6" s="99"/>
      <c r="D6" s="99"/>
      <c r="E6" s="99"/>
      <c r="F6" s="99"/>
      <c r="G6" s="99"/>
      <c r="H6" s="99"/>
      <c r="I6" s="99"/>
      <c r="J6" s="99"/>
      <c r="K6" s="99"/>
      <c r="L6" s="99"/>
      <c r="M6" s="99"/>
      <c r="N6" s="99"/>
      <c r="O6" s="99"/>
      <c r="P6" s="99"/>
      <c r="Q6" s="99"/>
      <c r="R6" s="99"/>
      <c r="S6" s="99"/>
      <c r="T6" s="99"/>
      <c r="U6" s="99"/>
      <c r="V6" s="99"/>
      <c r="W6" s="99"/>
      <c r="X6" s="99"/>
      <c r="Y6" s="99"/>
      <c r="Z6" s="99"/>
      <c r="AA6" s="99"/>
      <c r="AB6" s="99"/>
      <c r="AC6" s="100" t="s">
        <v>1168</v>
      </c>
    </row>
    <row r="7" spans="1:29" ht="16" thickBot="1" x14ac:dyDescent="0.25">
      <c r="A7" s="101" t="s">
        <v>1169</v>
      </c>
      <c r="B7" s="99"/>
      <c r="C7" s="99"/>
      <c r="D7" s="99"/>
      <c r="E7" s="99"/>
      <c r="F7" s="99"/>
      <c r="G7" s="99"/>
      <c r="H7" s="99"/>
      <c r="I7" s="99"/>
      <c r="J7" s="99"/>
      <c r="K7" s="99"/>
      <c r="L7" s="99"/>
      <c r="M7" s="99"/>
      <c r="N7" s="99"/>
      <c r="O7" s="99"/>
      <c r="P7" s="99"/>
      <c r="Q7" s="99"/>
      <c r="R7" s="99"/>
      <c r="S7" s="99"/>
      <c r="T7" s="99"/>
      <c r="U7" s="99"/>
      <c r="V7" s="99"/>
      <c r="W7" s="99"/>
      <c r="X7" s="99"/>
      <c r="Y7" s="99"/>
      <c r="Z7" s="99"/>
      <c r="AA7" s="99"/>
      <c r="AB7" s="99"/>
      <c r="AC7" s="100" t="s">
        <v>1170</v>
      </c>
    </row>
    <row r="8" spans="1:29" ht="29" thickBot="1" x14ac:dyDescent="0.25">
      <c r="A8" s="102" t="s">
        <v>1171</v>
      </c>
      <c r="B8" s="103">
        <v>1540938</v>
      </c>
      <c r="C8" s="103">
        <v>0</v>
      </c>
      <c r="D8" s="103">
        <v>5548977</v>
      </c>
      <c r="E8" s="103">
        <v>0</v>
      </c>
      <c r="F8" s="103">
        <v>0</v>
      </c>
      <c r="G8" s="103">
        <v>0</v>
      </c>
      <c r="H8" s="103">
        <v>0</v>
      </c>
      <c r="I8" s="103">
        <v>10936462</v>
      </c>
      <c r="J8" s="103">
        <v>422502</v>
      </c>
      <c r="K8" s="103">
        <v>948627</v>
      </c>
      <c r="L8" s="103">
        <v>0</v>
      </c>
      <c r="M8" s="103">
        <v>0</v>
      </c>
      <c r="N8" s="103">
        <v>0</v>
      </c>
      <c r="O8" s="103">
        <v>0</v>
      </c>
      <c r="P8" s="103">
        <v>0</v>
      </c>
      <c r="Q8" s="103">
        <v>0</v>
      </c>
      <c r="R8" s="103">
        <v>0</v>
      </c>
      <c r="S8" s="103">
        <v>0</v>
      </c>
      <c r="T8" s="103">
        <v>0</v>
      </c>
      <c r="U8" s="103">
        <v>1385</v>
      </c>
      <c r="V8" s="103">
        <v>3234149</v>
      </c>
      <c r="W8" s="103">
        <v>0</v>
      </c>
      <c r="X8" s="103">
        <v>219723216</v>
      </c>
      <c r="Y8" s="104">
        <v>242356256</v>
      </c>
      <c r="Z8" s="103">
        <v>0</v>
      </c>
      <c r="AA8" s="103">
        <v>181337</v>
      </c>
      <c r="AB8" s="104">
        <v>242537593</v>
      </c>
      <c r="AC8" s="105" t="s">
        <v>1172</v>
      </c>
    </row>
    <row r="9" spans="1:29" ht="16" thickBot="1" x14ac:dyDescent="0.25">
      <c r="A9" s="106" t="s">
        <v>1173</v>
      </c>
      <c r="B9" s="99"/>
      <c r="C9" s="99"/>
      <c r="D9" s="99"/>
      <c r="E9" s="99"/>
      <c r="F9" s="99"/>
      <c r="G9" s="99"/>
      <c r="H9" s="99"/>
      <c r="I9" s="99"/>
      <c r="J9" s="99"/>
      <c r="K9" s="99"/>
      <c r="L9" s="99"/>
      <c r="M9" s="99"/>
      <c r="N9" s="99"/>
      <c r="O9" s="99"/>
      <c r="P9" s="99"/>
      <c r="Q9" s="99"/>
      <c r="R9" s="99"/>
      <c r="S9" s="99"/>
      <c r="T9" s="99"/>
      <c r="U9" s="99"/>
      <c r="V9" s="99"/>
      <c r="W9" s="99"/>
      <c r="X9" s="99"/>
      <c r="Y9" s="99"/>
      <c r="Z9" s="99"/>
      <c r="AA9" s="99"/>
      <c r="AB9" s="99"/>
      <c r="AC9" s="100" t="s">
        <v>1174</v>
      </c>
    </row>
    <row r="10" spans="1:29" ht="29" thickBot="1" x14ac:dyDescent="0.25">
      <c r="A10" s="107" t="s">
        <v>1175</v>
      </c>
      <c r="B10" s="103">
        <v>0</v>
      </c>
      <c r="C10" s="103">
        <v>0</v>
      </c>
      <c r="D10" s="103">
        <v>0</v>
      </c>
      <c r="E10" s="103">
        <v>0</v>
      </c>
      <c r="F10" s="103">
        <v>0</v>
      </c>
      <c r="G10" s="103">
        <v>0</v>
      </c>
      <c r="H10" s="103">
        <v>0</v>
      </c>
      <c r="I10" s="103">
        <v>0</v>
      </c>
      <c r="J10" s="103">
        <v>0</v>
      </c>
      <c r="K10" s="103">
        <v>0</v>
      </c>
      <c r="L10" s="103">
        <v>0</v>
      </c>
      <c r="M10" s="103">
        <v>0</v>
      </c>
      <c r="N10" s="103">
        <v>0</v>
      </c>
      <c r="O10" s="103">
        <v>0</v>
      </c>
      <c r="P10" s="103">
        <v>0</v>
      </c>
      <c r="Q10" s="103">
        <v>0</v>
      </c>
      <c r="R10" s="103">
        <v>0</v>
      </c>
      <c r="S10" s="103">
        <v>0</v>
      </c>
      <c r="T10" s="103">
        <v>0</v>
      </c>
      <c r="U10" s="103">
        <v>0</v>
      </c>
      <c r="V10" s="103">
        <v>0</v>
      </c>
      <c r="W10" s="103">
        <v>0</v>
      </c>
      <c r="X10" s="103">
        <v>0</v>
      </c>
      <c r="Y10" s="104">
        <v>0</v>
      </c>
      <c r="Z10" s="103">
        <v>0</v>
      </c>
      <c r="AA10" s="103">
        <v>0</v>
      </c>
      <c r="AB10" s="104">
        <v>0</v>
      </c>
      <c r="AC10" s="105" t="s">
        <v>1176</v>
      </c>
    </row>
    <row r="11" spans="1:29" ht="29" thickBot="1" x14ac:dyDescent="0.25">
      <c r="A11" s="107" t="s">
        <v>1177</v>
      </c>
      <c r="B11" s="103">
        <v>0</v>
      </c>
      <c r="C11" s="103">
        <v>0</v>
      </c>
      <c r="D11" s="103">
        <v>0</v>
      </c>
      <c r="E11" s="103">
        <v>0</v>
      </c>
      <c r="F11" s="103">
        <v>0</v>
      </c>
      <c r="G11" s="103">
        <v>0</v>
      </c>
      <c r="H11" s="103">
        <v>0</v>
      </c>
      <c r="I11" s="103">
        <v>0</v>
      </c>
      <c r="J11" s="103">
        <v>0</v>
      </c>
      <c r="K11" s="103">
        <v>0</v>
      </c>
      <c r="L11" s="103">
        <v>0</v>
      </c>
      <c r="M11" s="103">
        <v>0</v>
      </c>
      <c r="N11" s="103">
        <v>0</v>
      </c>
      <c r="O11" s="103">
        <v>0</v>
      </c>
      <c r="P11" s="103">
        <v>0</v>
      </c>
      <c r="Q11" s="103">
        <v>0</v>
      </c>
      <c r="R11" s="103">
        <v>0</v>
      </c>
      <c r="S11" s="103">
        <v>0</v>
      </c>
      <c r="T11" s="103">
        <v>0</v>
      </c>
      <c r="U11" s="103">
        <v>0</v>
      </c>
      <c r="V11" s="103">
        <v>0</v>
      </c>
      <c r="W11" s="103">
        <v>0</v>
      </c>
      <c r="X11" s="103">
        <v>0</v>
      </c>
      <c r="Y11" s="104">
        <v>0</v>
      </c>
      <c r="Z11" s="103">
        <v>0</v>
      </c>
      <c r="AA11" s="103">
        <v>0</v>
      </c>
      <c r="AB11" s="104">
        <v>0</v>
      </c>
      <c r="AC11" s="105" t="s">
        <v>1178</v>
      </c>
    </row>
    <row r="12" spans="1:29" ht="16" thickBot="1" x14ac:dyDescent="0.25">
      <c r="A12" s="107" t="s">
        <v>1179</v>
      </c>
      <c r="B12" s="103">
        <v>0</v>
      </c>
      <c r="C12" s="103">
        <v>0</v>
      </c>
      <c r="D12" s="103">
        <v>0</v>
      </c>
      <c r="E12" s="103">
        <v>0</v>
      </c>
      <c r="F12" s="103">
        <v>0</v>
      </c>
      <c r="G12" s="103">
        <v>0</v>
      </c>
      <c r="H12" s="103">
        <v>0</v>
      </c>
      <c r="I12" s="103">
        <v>0</v>
      </c>
      <c r="J12" s="103">
        <v>0</v>
      </c>
      <c r="K12" s="103">
        <v>0</v>
      </c>
      <c r="L12" s="103">
        <v>0</v>
      </c>
      <c r="M12" s="103">
        <v>0</v>
      </c>
      <c r="N12" s="103">
        <v>0</v>
      </c>
      <c r="O12" s="103">
        <v>0</v>
      </c>
      <c r="P12" s="103">
        <v>0</v>
      </c>
      <c r="Q12" s="103">
        <v>0</v>
      </c>
      <c r="R12" s="103">
        <v>0</v>
      </c>
      <c r="S12" s="103">
        <v>0</v>
      </c>
      <c r="T12" s="103">
        <v>0</v>
      </c>
      <c r="U12" s="103">
        <v>0</v>
      </c>
      <c r="V12" s="103">
        <v>0</v>
      </c>
      <c r="W12" s="103">
        <v>0</v>
      </c>
      <c r="X12" s="103">
        <v>0</v>
      </c>
      <c r="Y12" s="104">
        <v>0</v>
      </c>
      <c r="Z12" s="103">
        <v>0</v>
      </c>
      <c r="AA12" s="103">
        <v>0</v>
      </c>
      <c r="AB12" s="104">
        <v>0</v>
      </c>
      <c r="AC12" s="105" t="s">
        <v>1180</v>
      </c>
    </row>
    <row r="13" spans="1:29" ht="16" thickBot="1" x14ac:dyDescent="0.25">
      <c r="A13" s="107" t="s">
        <v>1181</v>
      </c>
      <c r="B13" s="103">
        <v>0</v>
      </c>
      <c r="C13" s="103">
        <v>0</v>
      </c>
      <c r="D13" s="103">
        <v>0</v>
      </c>
      <c r="E13" s="103">
        <v>0</v>
      </c>
      <c r="F13" s="103">
        <v>0</v>
      </c>
      <c r="G13" s="103">
        <v>0</v>
      </c>
      <c r="H13" s="103">
        <v>0</v>
      </c>
      <c r="I13" s="103">
        <v>0</v>
      </c>
      <c r="J13" s="103">
        <v>0</v>
      </c>
      <c r="K13" s="103">
        <v>0</v>
      </c>
      <c r="L13" s="103">
        <v>0</v>
      </c>
      <c r="M13" s="103">
        <v>0</v>
      </c>
      <c r="N13" s="103">
        <v>0</v>
      </c>
      <c r="O13" s="103">
        <v>0</v>
      </c>
      <c r="P13" s="103">
        <v>0</v>
      </c>
      <c r="Q13" s="103">
        <v>0</v>
      </c>
      <c r="R13" s="103">
        <v>0</v>
      </c>
      <c r="S13" s="103">
        <v>0</v>
      </c>
      <c r="T13" s="103">
        <v>0</v>
      </c>
      <c r="U13" s="103">
        <v>0</v>
      </c>
      <c r="V13" s="103">
        <v>0</v>
      </c>
      <c r="W13" s="103">
        <v>0</v>
      </c>
      <c r="X13" s="103">
        <v>0</v>
      </c>
      <c r="Y13" s="104">
        <v>0</v>
      </c>
      <c r="Z13" s="103">
        <v>0</v>
      </c>
      <c r="AA13" s="103">
        <v>0</v>
      </c>
      <c r="AB13" s="104">
        <v>0</v>
      </c>
      <c r="AC13" s="105" t="s">
        <v>1182</v>
      </c>
    </row>
    <row r="14" spans="1:29" ht="16" thickBot="1" x14ac:dyDescent="0.25">
      <c r="A14" s="106" t="s">
        <v>1183</v>
      </c>
      <c r="B14" s="104">
        <v>1540938</v>
      </c>
      <c r="C14" s="104">
        <v>0</v>
      </c>
      <c r="D14" s="104">
        <v>5548977</v>
      </c>
      <c r="E14" s="104">
        <v>0</v>
      </c>
      <c r="F14" s="104">
        <v>0</v>
      </c>
      <c r="G14" s="104">
        <v>0</v>
      </c>
      <c r="H14" s="104">
        <v>0</v>
      </c>
      <c r="I14" s="104">
        <v>10936462</v>
      </c>
      <c r="J14" s="104">
        <v>422502</v>
      </c>
      <c r="K14" s="104">
        <v>948627</v>
      </c>
      <c r="L14" s="104">
        <v>0</v>
      </c>
      <c r="M14" s="104">
        <v>0</v>
      </c>
      <c r="N14" s="104">
        <v>0</v>
      </c>
      <c r="O14" s="104">
        <v>0</v>
      </c>
      <c r="P14" s="104">
        <v>0</v>
      </c>
      <c r="Q14" s="104">
        <v>0</v>
      </c>
      <c r="R14" s="104">
        <v>0</v>
      </c>
      <c r="S14" s="104">
        <v>0</v>
      </c>
      <c r="T14" s="104">
        <v>0</v>
      </c>
      <c r="U14" s="104">
        <v>1385</v>
      </c>
      <c r="V14" s="104">
        <v>3234149</v>
      </c>
      <c r="W14" s="104">
        <v>0</v>
      </c>
      <c r="X14" s="104">
        <v>219723216</v>
      </c>
      <c r="Y14" s="104">
        <v>242356256</v>
      </c>
      <c r="Z14" s="104">
        <v>0</v>
      </c>
      <c r="AA14" s="104">
        <v>181337</v>
      </c>
      <c r="AB14" s="104">
        <v>242537593</v>
      </c>
      <c r="AC14" s="100" t="s">
        <v>1184</v>
      </c>
    </row>
    <row r="15" spans="1:29" ht="16" thickBot="1" x14ac:dyDescent="0.25">
      <c r="A15" s="102" t="s">
        <v>1185</v>
      </c>
      <c r="B15" s="103">
        <v>0</v>
      </c>
      <c r="C15" s="103">
        <v>0</v>
      </c>
      <c r="D15" s="103">
        <v>0</v>
      </c>
      <c r="E15" s="103">
        <v>0</v>
      </c>
      <c r="F15" s="103">
        <v>0</v>
      </c>
      <c r="G15" s="103">
        <v>0</v>
      </c>
      <c r="H15" s="103">
        <v>0</v>
      </c>
      <c r="I15" s="103">
        <v>0</v>
      </c>
      <c r="J15" s="103">
        <v>0</v>
      </c>
      <c r="K15" s="103">
        <v>0</v>
      </c>
      <c r="L15" s="103">
        <v>0</v>
      </c>
      <c r="M15" s="103">
        <v>0</v>
      </c>
      <c r="N15" s="103">
        <v>0</v>
      </c>
      <c r="O15" s="103">
        <v>0</v>
      </c>
      <c r="P15" s="103">
        <v>0</v>
      </c>
      <c r="Q15" s="103">
        <v>0</v>
      </c>
      <c r="R15" s="103">
        <v>0</v>
      </c>
      <c r="S15" s="103">
        <v>0</v>
      </c>
      <c r="T15" s="103">
        <v>0</v>
      </c>
      <c r="U15" s="103">
        <v>0</v>
      </c>
      <c r="V15" s="103">
        <v>0</v>
      </c>
      <c r="W15" s="103">
        <v>0</v>
      </c>
      <c r="X15" s="103">
        <v>54836305</v>
      </c>
      <c r="Y15" s="104">
        <v>54836305</v>
      </c>
      <c r="Z15" s="103">
        <v>0</v>
      </c>
      <c r="AA15" s="103">
        <v>14969</v>
      </c>
      <c r="AB15" s="104">
        <v>54851274</v>
      </c>
      <c r="AC15" s="105" t="s">
        <v>1186</v>
      </c>
    </row>
    <row r="16" spans="1:29" ht="16" thickBot="1" x14ac:dyDescent="0.25">
      <c r="A16" s="102" t="s">
        <v>1187</v>
      </c>
      <c r="B16" s="103">
        <v>0</v>
      </c>
      <c r="C16" s="103">
        <v>0</v>
      </c>
      <c r="D16" s="103">
        <v>0</v>
      </c>
      <c r="E16" s="103">
        <v>0</v>
      </c>
      <c r="F16" s="103">
        <v>0</v>
      </c>
      <c r="G16" s="103">
        <v>0</v>
      </c>
      <c r="H16" s="103">
        <v>0</v>
      </c>
      <c r="I16" s="103">
        <v>202434</v>
      </c>
      <c r="J16" s="103">
        <v>35287</v>
      </c>
      <c r="K16" s="103">
        <v>-675413</v>
      </c>
      <c r="L16" s="103">
        <v>0</v>
      </c>
      <c r="M16" s="103">
        <v>0</v>
      </c>
      <c r="N16" s="103">
        <v>0</v>
      </c>
      <c r="O16" s="103">
        <v>0</v>
      </c>
      <c r="P16" s="103">
        <v>0</v>
      </c>
      <c r="Q16" s="103">
        <v>0</v>
      </c>
      <c r="R16" s="103">
        <v>0</v>
      </c>
      <c r="S16" s="103">
        <v>0</v>
      </c>
      <c r="T16" s="103">
        <v>0</v>
      </c>
      <c r="U16" s="103">
        <v>0</v>
      </c>
      <c r="V16" s="103">
        <v>0</v>
      </c>
      <c r="W16" s="103">
        <v>0</v>
      </c>
      <c r="X16" s="103">
        <v>94578</v>
      </c>
      <c r="Y16" s="104">
        <v>-343114</v>
      </c>
      <c r="Z16" s="103">
        <v>0</v>
      </c>
      <c r="AA16" s="103">
        <v>-1840</v>
      </c>
      <c r="AB16" s="104">
        <v>-344954</v>
      </c>
      <c r="AC16" s="105" t="s">
        <v>1188</v>
      </c>
    </row>
    <row r="17" spans="1:29" ht="16" thickBot="1" x14ac:dyDescent="0.25">
      <c r="A17" s="102" t="s">
        <v>834</v>
      </c>
      <c r="B17" s="103">
        <v>0</v>
      </c>
      <c r="C17" s="103">
        <v>0</v>
      </c>
      <c r="D17" s="103">
        <v>0</v>
      </c>
      <c r="E17" s="103">
        <v>0</v>
      </c>
      <c r="F17" s="103">
        <v>0</v>
      </c>
      <c r="G17" s="103">
        <v>0</v>
      </c>
      <c r="H17" s="103">
        <v>0</v>
      </c>
      <c r="I17" s="103">
        <v>0</v>
      </c>
      <c r="J17" s="103">
        <v>0</v>
      </c>
      <c r="K17" s="103">
        <v>0</v>
      </c>
      <c r="L17" s="103">
        <v>0</v>
      </c>
      <c r="M17" s="103">
        <v>0</v>
      </c>
      <c r="N17" s="103">
        <v>0</v>
      </c>
      <c r="O17" s="103">
        <v>0</v>
      </c>
      <c r="P17" s="103">
        <v>0</v>
      </c>
      <c r="Q17" s="103">
        <v>0</v>
      </c>
      <c r="R17" s="103">
        <v>0</v>
      </c>
      <c r="S17" s="103">
        <v>0</v>
      </c>
      <c r="T17" s="103">
        <v>0</v>
      </c>
      <c r="U17" s="103">
        <v>0</v>
      </c>
      <c r="V17" s="103">
        <v>0</v>
      </c>
      <c r="W17" s="103">
        <v>0</v>
      </c>
      <c r="X17" s="103">
        <v>0</v>
      </c>
      <c r="Y17" s="104">
        <v>0</v>
      </c>
      <c r="Z17" s="103">
        <v>0</v>
      </c>
      <c r="AA17" s="103">
        <v>0</v>
      </c>
      <c r="AB17" s="104">
        <v>0</v>
      </c>
      <c r="AC17" s="105" t="s">
        <v>835</v>
      </c>
    </row>
    <row r="18" spans="1:29" ht="16" thickBot="1" x14ac:dyDescent="0.25">
      <c r="A18" s="102" t="s">
        <v>1189</v>
      </c>
      <c r="B18" s="103">
        <v>0</v>
      </c>
      <c r="C18" s="103">
        <v>0</v>
      </c>
      <c r="D18" s="103">
        <v>0</v>
      </c>
      <c r="E18" s="103">
        <v>0</v>
      </c>
      <c r="F18" s="103">
        <v>0</v>
      </c>
      <c r="G18" s="103">
        <v>0</v>
      </c>
      <c r="H18" s="103">
        <v>0</v>
      </c>
      <c r="I18" s="103">
        <v>0</v>
      </c>
      <c r="J18" s="103">
        <v>0</v>
      </c>
      <c r="K18" s="103">
        <v>0</v>
      </c>
      <c r="L18" s="103">
        <v>0</v>
      </c>
      <c r="M18" s="103">
        <v>0</v>
      </c>
      <c r="N18" s="103">
        <v>0</v>
      </c>
      <c r="O18" s="103">
        <v>0</v>
      </c>
      <c r="P18" s="103">
        <v>0</v>
      </c>
      <c r="Q18" s="103">
        <v>0</v>
      </c>
      <c r="R18" s="103">
        <v>0</v>
      </c>
      <c r="S18" s="103">
        <v>0</v>
      </c>
      <c r="T18" s="103">
        <v>0</v>
      </c>
      <c r="U18" s="103">
        <v>0</v>
      </c>
      <c r="V18" s="103">
        <v>486391</v>
      </c>
      <c r="W18" s="103">
        <v>0</v>
      </c>
      <c r="X18" s="103">
        <v>-486391</v>
      </c>
      <c r="Y18" s="104">
        <v>0</v>
      </c>
      <c r="Z18" s="103">
        <v>0</v>
      </c>
      <c r="AA18" s="103">
        <v>0</v>
      </c>
      <c r="AB18" s="104">
        <v>0</v>
      </c>
      <c r="AC18" s="105" t="s">
        <v>1190</v>
      </c>
    </row>
    <row r="19" spans="1:29" ht="16" thickBot="1" x14ac:dyDescent="0.25">
      <c r="A19" s="102" t="s">
        <v>1191</v>
      </c>
      <c r="B19" s="103">
        <v>0</v>
      </c>
      <c r="C19" s="103">
        <v>0</v>
      </c>
      <c r="D19" s="103">
        <v>0</v>
      </c>
      <c r="E19" s="103">
        <v>0</v>
      </c>
      <c r="F19" s="103">
        <v>0</v>
      </c>
      <c r="G19" s="103">
        <v>0</v>
      </c>
      <c r="H19" s="103">
        <v>0</v>
      </c>
      <c r="I19" s="103">
        <v>0</v>
      </c>
      <c r="J19" s="103">
        <v>0</v>
      </c>
      <c r="K19" s="103">
        <v>0</v>
      </c>
      <c r="L19" s="103">
        <v>0</v>
      </c>
      <c r="M19" s="103">
        <v>0</v>
      </c>
      <c r="N19" s="103">
        <v>0</v>
      </c>
      <c r="O19" s="103">
        <v>0</v>
      </c>
      <c r="P19" s="103">
        <v>0</v>
      </c>
      <c r="Q19" s="103">
        <v>0</v>
      </c>
      <c r="R19" s="103">
        <v>0</v>
      </c>
      <c r="S19" s="103">
        <v>0</v>
      </c>
      <c r="T19" s="103">
        <v>0</v>
      </c>
      <c r="U19" s="103">
        <v>0</v>
      </c>
      <c r="V19" s="103">
        <v>0</v>
      </c>
      <c r="W19" s="103">
        <v>0</v>
      </c>
      <c r="X19" s="103">
        <v>0</v>
      </c>
      <c r="Y19" s="104">
        <v>0</v>
      </c>
      <c r="Z19" s="103">
        <v>0</v>
      </c>
      <c r="AA19" s="103">
        <v>0</v>
      </c>
      <c r="AB19" s="104">
        <v>0</v>
      </c>
      <c r="AC19" s="105" t="s">
        <v>1192</v>
      </c>
    </row>
    <row r="20" spans="1:29" ht="16" thickBot="1" x14ac:dyDescent="0.25">
      <c r="A20" s="102" t="s">
        <v>1193</v>
      </c>
      <c r="B20" s="108">
        <v>0</v>
      </c>
      <c r="C20" s="108">
        <v>0</v>
      </c>
      <c r="D20" s="108">
        <v>0</v>
      </c>
      <c r="E20" s="108">
        <v>0</v>
      </c>
      <c r="F20" s="108">
        <v>0</v>
      </c>
      <c r="G20" s="108">
        <v>0</v>
      </c>
      <c r="H20" s="108">
        <v>0</v>
      </c>
      <c r="I20" s="108">
        <v>0</v>
      </c>
      <c r="J20" s="108">
        <v>0</v>
      </c>
      <c r="K20" s="108">
        <v>0</v>
      </c>
      <c r="L20" s="108">
        <v>0</v>
      </c>
      <c r="M20" s="108">
        <v>0</v>
      </c>
      <c r="N20" s="108">
        <v>0</v>
      </c>
      <c r="O20" s="108">
        <v>0</v>
      </c>
      <c r="P20" s="108">
        <v>0</v>
      </c>
      <c r="Q20" s="108">
        <v>0</v>
      </c>
      <c r="R20" s="108">
        <v>0</v>
      </c>
      <c r="S20" s="108">
        <v>0</v>
      </c>
      <c r="T20" s="108">
        <v>0</v>
      </c>
      <c r="U20" s="108">
        <v>0</v>
      </c>
      <c r="V20" s="108">
        <v>0</v>
      </c>
      <c r="W20" s="108">
        <v>0</v>
      </c>
      <c r="X20" s="108">
        <v>34208826</v>
      </c>
      <c r="Y20" s="108">
        <v>34208826</v>
      </c>
      <c r="Z20" s="108">
        <v>0</v>
      </c>
      <c r="AA20" s="108">
        <v>0</v>
      </c>
      <c r="AB20" s="108">
        <v>34208826</v>
      </c>
      <c r="AC20" s="105" t="s">
        <v>1194</v>
      </c>
    </row>
    <row r="21" spans="1:29" ht="16" thickBot="1" x14ac:dyDescent="0.25">
      <c r="A21" s="102" t="s">
        <v>1195</v>
      </c>
      <c r="B21" s="108">
        <v>0</v>
      </c>
      <c r="C21" s="108">
        <v>0</v>
      </c>
      <c r="D21" s="108">
        <v>0</v>
      </c>
      <c r="E21" s="108">
        <v>0</v>
      </c>
      <c r="F21" s="108">
        <v>0</v>
      </c>
      <c r="G21" s="108">
        <v>0</v>
      </c>
      <c r="H21" s="108">
        <v>0</v>
      </c>
      <c r="I21" s="108">
        <v>0</v>
      </c>
      <c r="J21" s="108">
        <v>0</v>
      </c>
      <c r="K21" s="108">
        <v>0</v>
      </c>
      <c r="L21" s="108">
        <v>0</v>
      </c>
      <c r="M21" s="108">
        <v>0</v>
      </c>
      <c r="N21" s="108">
        <v>0</v>
      </c>
      <c r="O21" s="108">
        <v>0</v>
      </c>
      <c r="P21" s="108">
        <v>0</v>
      </c>
      <c r="Q21" s="108">
        <v>0</v>
      </c>
      <c r="R21" s="108">
        <v>0</v>
      </c>
      <c r="S21" s="108">
        <v>0</v>
      </c>
      <c r="T21" s="108">
        <v>0</v>
      </c>
      <c r="U21" s="108">
        <v>0</v>
      </c>
      <c r="V21" s="108">
        <v>0</v>
      </c>
      <c r="W21" s="108">
        <v>0</v>
      </c>
      <c r="X21" s="108">
        <v>0</v>
      </c>
      <c r="Y21" s="108">
        <v>0</v>
      </c>
      <c r="Z21" s="108">
        <v>0</v>
      </c>
      <c r="AA21" s="108">
        <v>0</v>
      </c>
      <c r="AB21" s="108">
        <v>0</v>
      </c>
      <c r="AC21" s="105" t="s">
        <v>1196</v>
      </c>
    </row>
    <row r="22" spans="1:29" ht="16" thickBot="1" x14ac:dyDescent="0.25">
      <c r="A22" s="102" t="s">
        <v>1197</v>
      </c>
      <c r="B22" s="103">
        <v>0</v>
      </c>
      <c r="C22" s="103">
        <v>0</v>
      </c>
      <c r="D22" s="103">
        <v>0</v>
      </c>
      <c r="E22" s="103">
        <v>0</v>
      </c>
      <c r="F22" s="103">
        <v>0</v>
      </c>
      <c r="G22" s="103">
        <v>0</v>
      </c>
      <c r="H22" s="103">
        <v>0</v>
      </c>
      <c r="I22" s="103">
        <v>0</v>
      </c>
      <c r="J22" s="103">
        <v>0</v>
      </c>
      <c r="K22" s="103">
        <v>0</v>
      </c>
      <c r="L22" s="103">
        <v>0</v>
      </c>
      <c r="M22" s="103">
        <v>0</v>
      </c>
      <c r="N22" s="103">
        <v>0</v>
      </c>
      <c r="O22" s="103">
        <v>0</v>
      </c>
      <c r="P22" s="103">
        <v>0</v>
      </c>
      <c r="Q22" s="103">
        <v>0</v>
      </c>
      <c r="R22" s="103">
        <v>0</v>
      </c>
      <c r="S22" s="103">
        <v>0</v>
      </c>
      <c r="T22" s="103">
        <v>0</v>
      </c>
      <c r="U22" s="103">
        <v>0</v>
      </c>
      <c r="V22" s="103">
        <v>0</v>
      </c>
      <c r="W22" s="103">
        <v>0</v>
      </c>
      <c r="X22" s="103">
        <v>0</v>
      </c>
      <c r="Y22" s="104">
        <v>0</v>
      </c>
      <c r="Z22" s="103">
        <v>0</v>
      </c>
      <c r="AA22" s="103">
        <v>0</v>
      </c>
      <c r="AB22" s="104">
        <v>0</v>
      </c>
      <c r="AC22" s="105" t="s">
        <v>1198</v>
      </c>
    </row>
    <row r="23" spans="1:29" ht="16" thickBot="1" x14ac:dyDescent="0.25">
      <c r="A23" s="102" t="s">
        <v>1199</v>
      </c>
      <c r="B23" s="103">
        <v>0</v>
      </c>
      <c r="C23" s="103">
        <v>0</v>
      </c>
      <c r="D23" s="103">
        <v>0</v>
      </c>
      <c r="E23" s="103">
        <v>0</v>
      </c>
      <c r="F23" s="103">
        <v>0</v>
      </c>
      <c r="G23" s="103">
        <v>0</v>
      </c>
      <c r="H23" s="103">
        <v>0</v>
      </c>
      <c r="I23" s="103">
        <v>0</v>
      </c>
      <c r="J23" s="103">
        <v>0</v>
      </c>
      <c r="K23" s="103">
        <v>0</v>
      </c>
      <c r="L23" s="103">
        <v>0</v>
      </c>
      <c r="M23" s="103">
        <v>0</v>
      </c>
      <c r="N23" s="103">
        <v>0</v>
      </c>
      <c r="O23" s="103">
        <v>0</v>
      </c>
      <c r="P23" s="103">
        <v>0</v>
      </c>
      <c r="Q23" s="103">
        <v>0</v>
      </c>
      <c r="R23" s="103">
        <v>0</v>
      </c>
      <c r="S23" s="103">
        <v>0</v>
      </c>
      <c r="T23" s="103">
        <v>0</v>
      </c>
      <c r="U23" s="103">
        <v>0</v>
      </c>
      <c r="V23" s="103">
        <v>0</v>
      </c>
      <c r="W23" s="103">
        <v>0</v>
      </c>
      <c r="X23" s="103">
        <v>0</v>
      </c>
      <c r="Y23" s="104">
        <v>0</v>
      </c>
      <c r="Z23" s="103">
        <v>0</v>
      </c>
      <c r="AA23" s="103">
        <v>0</v>
      </c>
      <c r="AB23" s="104">
        <v>0</v>
      </c>
      <c r="AC23" s="105" t="s">
        <v>1200</v>
      </c>
    </row>
    <row r="24" spans="1:29" ht="16" thickBot="1" x14ac:dyDescent="0.25">
      <c r="A24" s="102" t="s">
        <v>1201</v>
      </c>
      <c r="B24" s="108">
        <v>0</v>
      </c>
      <c r="C24" s="108">
        <v>0</v>
      </c>
      <c r="D24" s="108">
        <v>0</v>
      </c>
      <c r="E24" s="108">
        <v>0</v>
      </c>
      <c r="F24" s="108">
        <v>0</v>
      </c>
      <c r="G24" s="108">
        <v>0</v>
      </c>
      <c r="H24" s="108">
        <v>0</v>
      </c>
      <c r="I24" s="108">
        <v>0</v>
      </c>
      <c r="J24" s="108">
        <v>0</v>
      </c>
      <c r="K24" s="108">
        <v>0</v>
      </c>
      <c r="L24" s="108">
        <v>0</v>
      </c>
      <c r="M24" s="108">
        <v>0</v>
      </c>
      <c r="N24" s="108">
        <v>0</v>
      </c>
      <c r="O24" s="108">
        <v>0</v>
      </c>
      <c r="P24" s="108">
        <v>0</v>
      </c>
      <c r="Q24" s="108">
        <v>0</v>
      </c>
      <c r="R24" s="108">
        <v>0</v>
      </c>
      <c r="S24" s="108">
        <v>0</v>
      </c>
      <c r="T24" s="108">
        <v>0</v>
      </c>
      <c r="U24" s="108">
        <v>0</v>
      </c>
      <c r="V24" s="108">
        <v>0</v>
      </c>
      <c r="W24" s="108">
        <v>0</v>
      </c>
      <c r="X24" s="108">
        <v>0</v>
      </c>
      <c r="Y24" s="108">
        <v>0</v>
      </c>
      <c r="Z24" s="108">
        <v>0</v>
      </c>
      <c r="AA24" s="108">
        <v>0</v>
      </c>
      <c r="AB24" s="108">
        <v>0</v>
      </c>
      <c r="AC24" s="105" t="s">
        <v>1202</v>
      </c>
    </row>
    <row r="25" spans="1:29" ht="29" thickBot="1" x14ac:dyDescent="0.25">
      <c r="A25" s="102" t="s">
        <v>1203</v>
      </c>
      <c r="B25" s="103">
        <v>0</v>
      </c>
      <c r="C25" s="103">
        <v>0</v>
      </c>
      <c r="D25" s="103">
        <v>0</v>
      </c>
      <c r="E25" s="103">
        <v>0</v>
      </c>
      <c r="F25" s="103">
        <v>0</v>
      </c>
      <c r="G25" s="103">
        <v>0</v>
      </c>
      <c r="H25" s="103">
        <v>0</v>
      </c>
      <c r="I25" s="103">
        <v>0</v>
      </c>
      <c r="J25" s="103">
        <v>0</v>
      </c>
      <c r="K25" s="103">
        <v>0</v>
      </c>
      <c r="L25" s="103">
        <v>0</v>
      </c>
      <c r="M25" s="103">
        <v>0</v>
      </c>
      <c r="N25" s="103">
        <v>0</v>
      </c>
      <c r="O25" s="103">
        <v>0</v>
      </c>
      <c r="P25" s="103">
        <v>0</v>
      </c>
      <c r="Q25" s="103">
        <v>0</v>
      </c>
      <c r="R25" s="103">
        <v>0</v>
      </c>
      <c r="S25" s="103">
        <v>0</v>
      </c>
      <c r="T25" s="103">
        <v>0</v>
      </c>
      <c r="U25" s="103">
        <v>0</v>
      </c>
      <c r="V25" s="103">
        <v>0</v>
      </c>
      <c r="W25" s="103">
        <v>0</v>
      </c>
      <c r="X25" s="103">
        <v>0</v>
      </c>
      <c r="Y25" s="104">
        <v>0</v>
      </c>
      <c r="Z25" s="103">
        <v>0</v>
      </c>
      <c r="AA25" s="103">
        <v>0</v>
      </c>
      <c r="AB25" s="104">
        <v>0</v>
      </c>
      <c r="AC25" s="105" t="s">
        <v>1204</v>
      </c>
    </row>
    <row r="26" spans="1:29" ht="29" thickBot="1" x14ac:dyDescent="0.25">
      <c r="A26" s="102" t="s">
        <v>1205</v>
      </c>
      <c r="B26" s="103">
        <v>0</v>
      </c>
      <c r="C26" s="103">
        <v>0</v>
      </c>
      <c r="D26" s="103">
        <v>0</v>
      </c>
      <c r="E26" s="103">
        <v>0</v>
      </c>
      <c r="F26" s="103">
        <v>0</v>
      </c>
      <c r="G26" s="103">
        <v>0</v>
      </c>
      <c r="H26" s="103">
        <v>0</v>
      </c>
      <c r="I26" s="103">
        <v>0</v>
      </c>
      <c r="J26" s="103">
        <v>0</v>
      </c>
      <c r="K26" s="103">
        <v>0</v>
      </c>
      <c r="L26" s="103">
        <v>0</v>
      </c>
      <c r="M26" s="103">
        <v>0</v>
      </c>
      <c r="N26" s="103">
        <v>0</v>
      </c>
      <c r="O26" s="103">
        <v>0</v>
      </c>
      <c r="P26" s="103">
        <v>0</v>
      </c>
      <c r="Q26" s="103">
        <v>0</v>
      </c>
      <c r="R26" s="103">
        <v>0</v>
      </c>
      <c r="S26" s="103">
        <v>0</v>
      </c>
      <c r="T26" s="103">
        <v>0</v>
      </c>
      <c r="U26" s="103">
        <v>0</v>
      </c>
      <c r="V26" s="103">
        <v>0</v>
      </c>
      <c r="W26" s="103">
        <v>0</v>
      </c>
      <c r="X26" s="103">
        <v>0</v>
      </c>
      <c r="Y26" s="104">
        <v>0</v>
      </c>
      <c r="Z26" s="103">
        <v>0</v>
      </c>
      <c r="AA26" s="103">
        <v>0</v>
      </c>
      <c r="AB26" s="104">
        <v>0</v>
      </c>
      <c r="AC26" s="105" t="s">
        <v>1206</v>
      </c>
    </row>
    <row r="27" spans="1:29" ht="29" thickBot="1" x14ac:dyDescent="0.25">
      <c r="A27" s="102" t="s">
        <v>1207</v>
      </c>
      <c r="B27" s="103">
        <v>0</v>
      </c>
      <c r="C27" s="103">
        <v>0</v>
      </c>
      <c r="D27" s="103">
        <v>0</v>
      </c>
      <c r="E27" s="103">
        <v>0</v>
      </c>
      <c r="F27" s="103">
        <v>0</v>
      </c>
      <c r="G27" s="103">
        <v>0</v>
      </c>
      <c r="H27" s="103">
        <v>0</v>
      </c>
      <c r="I27" s="103">
        <v>0</v>
      </c>
      <c r="J27" s="103">
        <v>0</v>
      </c>
      <c r="K27" s="103">
        <v>0</v>
      </c>
      <c r="L27" s="103">
        <v>0</v>
      </c>
      <c r="M27" s="103">
        <v>0</v>
      </c>
      <c r="N27" s="103">
        <v>0</v>
      </c>
      <c r="O27" s="103">
        <v>0</v>
      </c>
      <c r="P27" s="103">
        <v>0</v>
      </c>
      <c r="Q27" s="103">
        <v>0</v>
      </c>
      <c r="R27" s="103">
        <v>0</v>
      </c>
      <c r="S27" s="103">
        <v>0</v>
      </c>
      <c r="T27" s="103">
        <v>0</v>
      </c>
      <c r="U27" s="103">
        <v>0</v>
      </c>
      <c r="V27" s="103">
        <v>0</v>
      </c>
      <c r="W27" s="103">
        <v>0</v>
      </c>
      <c r="X27" s="103">
        <v>0</v>
      </c>
      <c r="Y27" s="104">
        <v>0</v>
      </c>
      <c r="Z27" s="103">
        <v>0</v>
      </c>
      <c r="AA27" s="103">
        <v>0</v>
      </c>
      <c r="AB27" s="104">
        <v>0</v>
      </c>
      <c r="AC27" s="105" t="s">
        <v>1208</v>
      </c>
    </row>
    <row r="28" spans="1:29" ht="29" thickBot="1" x14ac:dyDescent="0.25">
      <c r="A28" s="102" t="s">
        <v>1209</v>
      </c>
      <c r="B28" s="103">
        <v>0</v>
      </c>
      <c r="C28" s="103">
        <v>0</v>
      </c>
      <c r="D28" s="103">
        <v>0</v>
      </c>
      <c r="E28" s="103">
        <v>0</v>
      </c>
      <c r="F28" s="103">
        <v>0</v>
      </c>
      <c r="G28" s="103">
        <v>0</v>
      </c>
      <c r="H28" s="103">
        <v>0</v>
      </c>
      <c r="I28" s="103">
        <v>0</v>
      </c>
      <c r="J28" s="103">
        <v>0</v>
      </c>
      <c r="K28" s="103">
        <v>0</v>
      </c>
      <c r="L28" s="103">
        <v>0</v>
      </c>
      <c r="M28" s="103">
        <v>0</v>
      </c>
      <c r="N28" s="103">
        <v>0</v>
      </c>
      <c r="O28" s="103">
        <v>0</v>
      </c>
      <c r="P28" s="103">
        <v>0</v>
      </c>
      <c r="Q28" s="103">
        <v>0</v>
      </c>
      <c r="R28" s="103">
        <v>0</v>
      </c>
      <c r="S28" s="103">
        <v>0</v>
      </c>
      <c r="T28" s="103">
        <v>0</v>
      </c>
      <c r="U28" s="103">
        <v>0</v>
      </c>
      <c r="V28" s="103">
        <v>0</v>
      </c>
      <c r="W28" s="103">
        <v>0</v>
      </c>
      <c r="X28" s="103">
        <v>0</v>
      </c>
      <c r="Y28" s="104">
        <v>0</v>
      </c>
      <c r="Z28" s="103">
        <v>0</v>
      </c>
      <c r="AA28" s="103">
        <v>0</v>
      </c>
      <c r="AB28" s="104">
        <v>0</v>
      </c>
      <c r="AC28" s="105" t="s">
        <v>1210</v>
      </c>
    </row>
    <row r="29" spans="1:29" ht="16" thickBot="1" x14ac:dyDescent="0.25">
      <c r="A29" s="102" t="s">
        <v>1211</v>
      </c>
      <c r="B29" s="103">
        <v>0</v>
      </c>
      <c r="C29" s="103">
        <v>0</v>
      </c>
      <c r="D29" s="103">
        <v>0</v>
      </c>
      <c r="E29" s="103">
        <v>0</v>
      </c>
      <c r="F29" s="103">
        <v>0</v>
      </c>
      <c r="G29" s="103">
        <v>0</v>
      </c>
      <c r="H29" s="103">
        <v>0</v>
      </c>
      <c r="I29" s="103">
        <v>0</v>
      </c>
      <c r="J29" s="103">
        <v>0</v>
      </c>
      <c r="K29" s="103">
        <v>0</v>
      </c>
      <c r="L29" s="103">
        <v>0</v>
      </c>
      <c r="M29" s="103">
        <v>0</v>
      </c>
      <c r="N29" s="103">
        <v>0</v>
      </c>
      <c r="O29" s="103">
        <v>0</v>
      </c>
      <c r="P29" s="103">
        <v>0</v>
      </c>
      <c r="Q29" s="103">
        <v>0</v>
      </c>
      <c r="R29" s="103">
        <v>0</v>
      </c>
      <c r="S29" s="103">
        <v>0</v>
      </c>
      <c r="T29" s="103">
        <v>0</v>
      </c>
      <c r="U29" s="103">
        <v>0</v>
      </c>
      <c r="V29" s="103">
        <v>0</v>
      </c>
      <c r="W29" s="103">
        <v>0</v>
      </c>
      <c r="X29" s="103">
        <v>0</v>
      </c>
      <c r="Y29" s="104">
        <v>0</v>
      </c>
      <c r="Z29" s="103">
        <v>0</v>
      </c>
      <c r="AA29" s="103">
        <v>0</v>
      </c>
      <c r="AB29" s="104">
        <v>0</v>
      </c>
      <c r="AC29" s="105" t="s">
        <v>1212</v>
      </c>
    </row>
    <row r="30" spans="1:29" ht="29" thickBot="1" x14ac:dyDescent="0.25">
      <c r="A30" s="102" t="s">
        <v>1213</v>
      </c>
      <c r="B30" s="103">
        <v>0</v>
      </c>
      <c r="C30" s="103">
        <v>0</v>
      </c>
      <c r="D30" s="103">
        <v>0</v>
      </c>
      <c r="E30" s="103">
        <v>0</v>
      </c>
      <c r="F30" s="103">
        <v>0</v>
      </c>
      <c r="G30" s="103">
        <v>0</v>
      </c>
      <c r="H30" s="103">
        <v>0</v>
      </c>
      <c r="I30" s="103">
        <v>0</v>
      </c>
      <c r="J30" s="103">
        <v>0</v>
      </c>
      <c r="K30" s="103">
        <v>0</v>
      </c>
      <c r="L30" s="103">
        <v>0</v>
      </c>
      <c r="M30" s="103">
        <v>0</v>
      </c>
      <c r="N30" s="103">
        <v>0</v>
      </c>
      <c r="O30" s="103">
        <v>0</v>
      </c>
      <c r="P30" s="103">
        <v>0</v>
      </c>
      <c r="Q30" s="103">
        <v>0</v>
      </c>
      <c r="R30" s="103">
        <v>0</v>
      </c>
      <c r="S30" s="103">
        <v>0</v>
      </c>
      <c r="T30" s="103">
        <v>0</v>
      </c>
      <c r="U30" s="103">
        <v>0</v>
      </c>
      <c r="V30" s="103">
        <v>0</v>
      </c>
      <c r="W30" s="103">
        <v>0</v>
      </c>
      <c r="X30" s="103">
        <v>0</v>
      </c>
      <c r="Y30" s="104">
        <v>0</v>
      </c>
      <c r="Z30" s="103">
        <v>0</v>
      </c>
      <c r="AA30" s="103">
        <v>0</v>
      </c>
      <c r="AB30" s="104">
        <v>0</v>
      </c>
      <c r="AC30" s="105" t="s">
        <v>1214</v>
      </c>
    </row>
    <row r="31" spans="1:29" ht="29" thickBot="1" x14ac:dyDescent="0.25">
      <c r="A31" s="102" t="s">
        <v>1215</v>
      </c>
      <c r="B31" s="103">
        <v>0</v>
      </c>
      <c r="C31" s="103">
        <v>0</v>
      </c>
      <c r="D31" s="103">
        <v>0</v>
      </c>
      <c r="E31" s="103">
        <v>0</v>
      </c>
      <c r="F31" s="103">
        <v>0</v>
      </c>
      <c r="G31" s="103">
        <v>0</v>
      </c>
      <c r="H31" s="103">
        <v>0</v>
      </c>
      <c r="I31" s="103">
        <v>0</v>
      </c>
      <c r="J31" s="103">
        <v>0</v>
      </c>
      <c r="K31" s="103">
        <v>0</v>
      </c>
      <c r="L31" s="103">
        <v>0</v>
      </c>
      <c r="M31" s="103">
        <v>0</v>
      </c>
      <c r="N31" s="103">
        <v>0</v>
      </c>
      <c r="O31" s="103">
        <v>0</v>
      </c>
      <c r="P31" s="103">
        <v>0</v>
      </c>
      <c r="Q31" s="103">
        <v>0</v>
      </c>
      <c r="R31" s="103">
        <v>0</v>
      </c>
      <c r="S31" s="103">
        <v>0</v>
      </c>
      <c r="T31" s="103">
        <v>0</v>
      </c>
      <c r="U31" s="103">
        <v>0</v>
      </c>
      <c r="V31" s="103">
        <v>0</v>
      </c>
      <c r="W31" s="103">
        <v>0</v>
      </c>
      <c r="X31" s="103">
        <v>0</v>
      </c>
      <c r="Y31" s="104">
        <v>0</v>
      </c>
      <c r="Z31" s="103">
        <v>0</v>
      </c>
      <c r="AA31" s="103">
        <v>0</v>
      </c>
      <c r="AB31" s="104">
        <v>0</v>
      </c>
      <c r="AC31" s="105" t="s">
        <v>1216</v>
      </c>
    </row>
    <row r="32" spans="1:29" ht="29" thickBot="1" x14ac:dyDescent="0.25">
      <c r="A32" s="102" t="s">
        <v>1217</v>
      </c>
      <c r="B32" s="103">
        <v>0</v>
      </c>
      <c r="C32" s="103">
        <v>0</v>
      </c>
      <c r="D32" s="103">
        <v>0</v>
      </c>
      <c r="E32" s="103">
        <v>0</v>
      </c>
      <c r="F32" s="103">
        <v>0</v>
      </c>
      <c r="G32" s="103">
        <v>0</v>
      </c>
      <c r="H32" s="103">
        <v>0</v>
      </c>
      <c r="I32" s="103">
        <v>0</v>
      </c>
      <c r="J32" s="103">
        <v>0</v>
      </c>
      <c r="K32" s="103">
        <v>0</v>
      </c>
      <c r="L32" s="103">
        <v>0</v>
      </c>
      <c r="M32" s="103">
        <v>0</v>
      </c>
      <c r="N32" s="103">
        <v>0</v>
      </c>
      <c r="O32" s="103">
        <v>0</v>
      </c>
      <c r="P32" s="103">
        <v>0</v>
      </c>
      <c r="Q32" s="103">
        <v>0</v>
      </c>
      <c r="R32" s="103">
        <v>0</v>
      </c>
      <c r="S32" s="103">
        <v>0</v>
      </c>
      <c r="T32" s="103">
        <v>0</v>
      </c>
      <c r="U32" s="103">
        <v>0</v>
      </c>
      <c r="V32" s="103">
        <v>0</v>
      </c>
      <c r="W32" s="103">
        <v>0</v>
      </c>
      <c r="X32" s="103">
        <v>0</v>
      </c>
      <c r="Y32" s="104">
        <v>0</v>
      </c>
      <c r="Z32" s="103">
        <v>0</v>
      </c>
      <c r="AA32" s="103">
        <v>0</v>
      </c>
      <c r="AB32" s="104">
        <v>0</v>
      </c>
      <c r="AC32" s="105" t="s">
        <v>1218</v>
      </c>
    </row>
    <row r="33" spans="1:29" ht="29" thickBot="1" x14ac:dyDescent="0.25">
      <c r="A33" s="102" t="s">
        <v>1219</v>
      </c>
      <c r="B33" s="103">
        <v>0</v>
      </c>
      <c r="C33" s="103">
        <v>0</v>
      </c>
      <c r="D33" s="103">
        <v>0</v>
      </c>
      <c r="E33" s="103">
        <v>0</v>
      </c>
      <c r="F33" s="103">
        <v>0</v>
      </c>
      <c r="G33" s="103">
        <v>0</v>
      </c>
      <c r="H33" s="103">
        <v>0</v>
      </c>
      <c r="I33" s="103">
        <v>0</v>
      </c>
      <c r="J33" s="103">
        <v>0</v>
      </c>
      <c r="K33" s="103">
        <v>0</v>
      </c>
      <c r="L33" s="103">
        <v>0</v>
      </c>
      <c r="M33" s="103">
        <v>0</v>
      </c>
      <c r="N33" s="103">
        <v>0</v>
      </c>
      <c r="O33" s="103">
        <v>0</v>
      </c>
      <c r="P33" s="103">
        <v>0</v>
      </c>
      <c r="Q33" s="103">
        <v>0</v>
      </c>
      <c r="R33" s="103">
        <v>0</v>
      </c>
      <c r="S33" s="103">
        <v>0</v>
      </c>
      <c r="T33" s="103">
        <v>0</v>
      </c>
      <c r="U33" s="103">
        <v>0</v>
      </c>
      <c r="V33" s="103">
        <v>0</v>
      </c>
      <c r="W33" s="103">
        <v>0</v>
      </c>
      <c r="X33" s="103">
        <v>0</v>
      </c>
      <c r="Y33" s="104">
        <v>0</v>
      </c>
      <c r="Z33" s="103">
        <v>0</v>
      </c>
      <c r="AA33" s="103">
        <v>0</v>
      </c>
      <c r="AB33" s="104">
        <v>0</v>
      </c>
      <c r="AC33" s="105" t="s">
        <v>1220</v>
      </c>
    </row>
    <row r="34" spans="1:29" ht="43" thickBot="1" x14ac:dyDescent="0.25">
      <c r="A34" s="102" t="s">
        <v>1221</v>
      </c>
      <c r="B34" s="108">
        <v>0</v>
      </c>
      <c r="C34" s="108">
        <v>0</v>
      </c>
      <c r="D34" s="108">
        <v>0</v>
      </c>
      <c r="E34" s="108">
        <v>0</v>
      </c>
      <c r="F34" s="108">
        <v>0</v>
      </c>
      <c r="G34" s="108">
        <v>0</v>
      </c>
      <c r="H34" s="108">
        <v>0</v>
      </c>
      <c r="I34" s="108">
        <v>0</v>
      </c>
      <c r="J34" s="108">
        <v>0</v>
      </c>
      <c r="K34" s="108">
        <v>0</v>
      </c>
      <c r="L34" s="108">
        <v>0</v>
      </c>
      <c r="M34" s="108">
        <v>0</v>
      </c>
      <c r="N34" s="108">
        <v>0</v>
      </c>
      <c r="O34" s="108">
        <v>0</v>
      </c>
      <c r="P34" s="108">
        <v>0</v>
      </c>
      <c r="Q34" s="108">
        <v>0</v>
      </c>
      <c r="R34" s="108">
        <v>0</v>
      </c>
      <c r="S34" s="108">
        <v>0</v>
      </c>
      <c r="T34" s="108">
        <v>0</v>
      </c>
      <c r="U34" s="108">
        <v>0</v>
      </c>
      <c r="V34" s="108">
        <v>0</v>
      </c>
      <c r="W34" s="108">
        <v>0</v>
      </c>
      <c r="X34" s="108">
        <v>0</v>
      </c>
      <c r="Y34" s="108">
        <v>0</v>
      </c>
      <c r="Z34" s="108">
        <v>0</v>
      </c>
      <c r="AA34" s="108">
        <v>0</v>
      </c>
      <c r="AB34" s="108">
        <v>0</v>
      </c>
      <c r="AC34" s="105" t="s">
        <v>1222</v>
      </c>
    </row>
    <row r="35" spans="1:29" ht="43" thickBot="1" x14ac:dyDescent="0.25">
      <c r="A35" s="102" t="s">
        <v>1223</v>
      </c>
      <c r="B35" s="108">
        <v>0</v>
      </c>
      <c r="C35" s="108">
        <v>0</v>
      </c>
      <c r="D35" s="108">
        <v>0</v>
      </c>
      <c r="E35" s="108">
        <v>0</v>
      </c>
      <c r="F35" s="108">
        <v>0</v>
      </c>
      <c r="G35" s="108">
        <v>0</v>
      </c>
      <c r="H35" s="108">
        <v>0</v>
      </c>
      <c r="I35" s="108">
        <v>0</v>
      </c>
      <c r="J35" s="108">
        <v>0</v>
      </c>
      <c r="K35" s="108">
        <v>0</v>
      </c>
      <c r="L35" s="108">
        <v>0</v>
      </c>
      <c r="M35" s="108">
        <v>0</v>
      </c>
      <c r="N35" s="108">
        <v>0</v>
      </c>
      <c r="O35" s="108">
        <v>0</v>
      </c>
      <c r="P35" s="108">
        <v>0</v>
      </c>
      <c r="Q35" s="108">
        <v>0</v>
      </c>
      <c r="R35" s="108">
        <v>0</v>
      </c>
      <c r="S35" s="108">
        <v>0</v>
      </c>
      <c r="T35" s="108">
        <v>0</v>
      </c>
      <c r="U35" s="108">
        <v>0</v>
      </c>
      <c r="V35" s="108">
        <v>0</v>
      </c>
      <c r="W35" s="108">
        <v>0</v>
      </c>
      <c r="X35" s="108">
        <v>0</v>
      </c>
      <c r="Y35" s="108">
        <v>0</v>
      </c>
      <c r="Z35" s="108">
        <v>0</v>
      </c>
      <c r="AA35" s="108">
        <v>0</v>
      </c>
      <c r="AB35" s="108">
        <v>0</v>
      </c>
      <c r="AC35" s="105" t="s">
        <v>1224</v>
      </c>
    </row>
    <row r="36" spans="1:29" ht="71" thickBot="1" x14ac:dyDescent="0.25">
      <c r="A36" s="102" t="s">
        <v>1225</v>
      </c>
      <c r="B36" s="108">
        <v>0</v>
      </c>
      <c r="C36" s="108">
        <v>0</v>
      </c>
      <c r="D36" s="108">
        <v>0</v>
      </c>
      <c r="E36" s="108">
        <v>0</v>
      </c>
      <c r="F36" s="108">
        <v>0</v>
      </c>
      <c r="G36" s="108">
        <v>0</v>
      </c>
      <c r="H36" s="108">
        <v>0</v>
      </c>
      <c r="I36" s="108">
        <v>0</v>
      </c>
      <c r="J36" s="108">
        <v>0</v>
      </c>
      <c r="K36" s="108">
        <v>0</v>
      </c>
      <c r="L36" s="108">
        <v>0</v>
      </c>
      <c r="M36" s="108">
        <v>0</v>
      </c>
      <c r="N36" s="108">
        <v>0</v>
      </c>
      <c r="O36" s="108">
        <v>0</v>
      </c>
      <c r="P36" s="108">
        <v>0</v>
      </c>
      <c r="Q36" s="108">
        <v>0</v>
      </c>
      <c r="R36" s="108">
        <v>0</v>
      </c>
      <c r="S36" s="108">
        <v>0</v>
      </c>
      <c r="T36" s="108">
        <v>0</v>
      </c>
      <c r="U36" s="108">
        <v>0</v>
      </c>
      <c r="V36" s="108">
        <v>0</v>
      </c>
      <c r="W36" s="108">
        <v>0</v>
      </c>
      <c r="X36" s="108">
        <v>0</v>
      </c>
      <c r="Y36" s="108">
        <v>0</v>
      </c>
      <c r="Z36" s="108">
        <v>0</v>
      </c>
      <c r="AA36" s="108">
        <v>0</v>
      </c>
      <c r="AB36" s="108">
        <v>0</v>
      </c>
      <c r="AC36" s="105" t="s">
        <v>1226</v>
      </c>
    </row>
    <row r="37" spans="1:29" ht="43" thickBot="1" x14ac:dyDescent="0.25">
      <c r="A37" s="102" t="s">
        <v>1227</v>
      </c>
      <c r="B37" s="103">
        <v>0</v>
      </c>
      <c r="C37" s="103">
        <v>0</v>
      </c>
      <c r="D37" s="103">
        <v>0</v>
      </c>
      <c r="E37" s="103">
        <v>0</v>
      </c>
      <c r="F37" s="103">
        <v>0</v>
      </c>
      <c r="G37" s="103">
        <v>0</v>
      </c>
      <c r="H37" s="103">
        <v>0</v>
      </c>
      <c r="I37" s="103">
        <v>0</v>
      </c>
      <c r="J37" s="103">
        <v>0</v>
      </c>
      <c r="K37" s="103">
        <v>0</v>
      </c>
      <c r="L37" s="103">
        <v>0</v>
      </c>
      <c r="M37" s="103">
        <v>0</v>
      </c>
      <c r="N37" s="103">
        <v>0</v>
      </c>
      <c r="O37" s="103">
        <v>0</v>
      </c>
      <c r="P37" s="103">
        <v>0</v>
      </c>
      <c r="Q37" s="103">
        <v>0</v>
      </c>
      <c r="R37" s="103">
        <v>0</v>
      </c>
      <c r="S37" s="103">
        <v>0</v>
      </c>
      <c r="T37" s="103">
        <v>0</v>
      </c>
      <c r="U37" s="103">
        <v>0</v>
      </c>
      <c r="V37" s="103">
        <v>0</v>
      </c>
      <c r="W37" s="103">
        <v>0</v>
      </c>
      <c r="X37" s="103">
        <v>0</v>
      </c>
      <c r="Y37" s="104">
        <v>0</v>
      </c>
      <c r="Z37" s="103">
        <v>0</v>
      </c>
      <c r="AA37" s="103">
        <v>0</v>
      </c>
      <c r="AB37" s="104">
        <v>0</v>
      </c>
      <c r="AC37" s="105" t="s">
        <v>1228</v>
      </c>
    </row>
    <row r="38" spans="1:29" ht="29" thickBot="1" x14ac:dyDescent="0.25">
      <c r="A38" s="102" t="s">
        <v>1229</v>
      </c>
      <c r="B38" s="108">
        <v>0</v>
      </c>
      <c r="C38" s="108">
        <v>0</v>
      </c>
      <c r="D38" s="108">
        <v>0</v>
      </c>
      <c r="E38" s="108">
        <v>0</v>
      </c>
      <c r="F38" s="108">
        <v>0</v>
      </c>
      <c r="G38" s="108">
        <v>0</v>
      </c>
      <c r="H38" s="108">
        <v>0</v>
      </c>
      <c r="I38" s="108">
        <v>0</v>
      </c>
      <c r="J38" s="108">
        <v>0</v>
      </c>
      <c r="K38" s="108">
        <v>0</v>
      </c>
      <c r="L38" s="108">
        <v>0</v>
      </c>
      <c r="M38" s="108">
        <v>0</v>
      </c>
      <c r="N38" s="108">
        <v>0</v>
      </c>
      <c r="O38" s="108">
        <v>0</v>
      </c>
      <c r="P38" s="108">
        <v>0</v>
      </c>
      <c r="Q38" s="108">
        <v>0</v>
      </c>
      <c r="R38" s="108">
        <v>0</v>
      </c>
      <c r="S38" s="108">
        <v>0</v>
      </c>
      <c r="T38" s="108">
        <v>0</v>
      </c>
      <c r="U38" s="108">
        <v>0</v>
      </c>
      <c r="V38" s="108">
        <v>0</v>
      </c>
      <c r="W38" s="108">
        <v>0</v>
      </c>
      <c r="X38" s="108">
        <v>0</v>
      </c>
      <c r="Y38" s="108">
        <v>0</v>
      </c>
      <c r="Z38" s="108">
        <v>0</v>
      </c>
      <c r="AA38" s="108">
        <v>0</v>
      </c>
      <c r="AB38" s="108">
        <v>0</v>
      </c>
      <c r="AC38" s="105" t="s">
        <v>1230</v>
      </c>
    </row>
    <row r="39" spans="1:29" ht="16" thickBot="1" x14ac:dyDescent="0.25">
      <c r="A39" s="102" t="s">
        <v>1231</v>
      </c>
      <c r="B39" s="103">
        <v>0</v>
      </c>
      <c r="C39" s="103">
        <v>0</v>
      </c>
      <c r="D39" s="103">
        <v>0</v>
      </c>
      <c r="E39" s="103">
        <v>0</v>
      </c>
      <c r="F39" s="103">
        <v>0</v>
      </c>
      <c r="G39" s="103">
        <v>0</v>
      </c>
      <c r="H39" s="103">
        <v>0</v>
      </c>
      <c r="I39" s="103">
        <v>0</v>
      </c>
      <c r="J39" s="103">
        <v>0</v>
      </c>
      <c r="K39" s="103">
        <v>0</v>
      </c>
      <c r="L39" s="103">
        <v>0</v>
      </c>
      <c r="M39" s="103">
        <v>0</v>
      </c>
      <c r="N39" s="103">
        <v>0</v>
      </c>
      <c r="O39" s="103">
        <v>0</v>
      </c>
      <c r="P39" s="103">
        <v>0</v>
      </c>
      <c r="Q39" s="103">
        <v>0</v>
      </c>
      <c r="R39" s="103">
        <v>0</v>
      </c>
      <c r="S39" s="103">
        <v>0</v>
      </c>
      <c r="T39" s="103">
        <v>0</v>
      </c>
      <c r="U39" s="103">
        <v>0</v>
      </c>
      <c r="V39" s="103">
        <v>0</v>
      </c>
      <c r="W39" s="103">
        <v>0</v>
      </c>
      <c r="X39" s="103">
        <v>0</v>
      </c>
      <c r="Y39" s="104">
        <v>0</v>
      </c>
      <c r="Z39" s="103">
        <v>0</v>
      </c>
      <c r="AA39" s="103">
        <v>0</v>
      </c>
      <c r="AB39" s="104">
        <v>0</v>
      </c>
      <c r="AC39" s="105" t="s">
        <v>1232</v>
      </c>
    </row>
    <row r="40" spans="1:29" ht="29" thickBot="1" x14ac:dyDescent="0.25">
      <c r="A40" s="102" t="s">
        <v>1233</v>
      </c>
      <c r="B40" s="103">
        <v>0</v>
      </c>
      <c r="C40" s="103">
        <v>0</v>
      </c>
      <c r="D40" s="103">
        <v>0</v>
      </c>
      <c r="E40" s="103">
        <v>0</v>
      </c>
      <c r="F40" s="103">
        <v>0</v>
      </c>
      <c r="G40" s="103">
        <v>0</v>
      </c>
      <c r="H40" s="103">
        <v>0</v>
      </c>
      <c r="I40" s="103">
        <v>0</v>
      </c>
      <c r="J40" s="103">
        <v>0</v>
      </c>
      <c r="K40" s="103">
        <v>0</v>
      </c>
      <c r="L40" s="103">
        <v>0</v>
      </c>
      <c r="M40" s="103">
        <v>0</v>
      </c>
      <c r="N40" s="103">
        <v>0</v>
      </c>
      <c r="O40" s="103">
        <v>0</v>
      </c>
      <c r="P40" s="103">
        <v>0</v>
      </c>
      <c r="Q40" s="103">
        <v>0</v>
      </c>
      <c r="R40" s="103">
        <v>0</v>
      </c>
      <c r="S40" s="103">
        <v>0</v>
      </c>
      <c r="T40" s="103">
        <v>0</v>
      </c>
      <c r="U40" s="103">
        <v>0</v>
      </c>
      <c r="V40" s="103">
        <v>0</v>
      </c>
      <c r="W40" s="103">
        <v>0</v>
      </c>
      <c r="X40" s="103">
        <v>0</v>
      </c>
      <c r="Y40" s="104">
        <v>0</v>
      </c>
      <c r="Z40" s="103">
        <v>0</v>
      </c>
      <c r="AA40" s="103">
        <v>0</v>
      </c>
      <c r="AB40" s="104">
        <v>0</v>
      </c>
      <c r="AC40" s="105" t="s">
        <v>1234</v>
      </c>
    </row>
    <row r="41" spans="1:29" ht="29" thickBot="1" x14ac:dyDescent="0.25">
      <c r="A41" s="102" t="s">
        <v>1235</v>
      </c>
      <c r="B41" s="103">
        <v>0</v>
      </c>
      <c r="C41" s="103">
        <v>0</v>
      </c>
      <c r="D41" s="103">
        <v>0</v>
      </c>
      <c r="E41" s="103">
        <v>0</v>
      </c>
      <c r="F41" s="103">
        <v>0</v>
      </c>
      <c r="G41" s="103">
        <v>0</v>
      </c>
      <c r="H41" s="103">
        <v>0</v>
      </c>
      <c r="I41" s="103">
        <v>0</v>
      </c>
      <c r="J41" s="103">
        <v>0</v>
      </c>
      <c r="K41" s="103">
        <v>0</v>
      </c>
      <c r="L41" s="103">
        <v>0</v>
      </c>
      <c r="M41" s="103">
        <v>0</v>
      </c>
      <c r="N41" s="103">
        <v>0</v>
      </c>
      <c r="O41" s="103">
        <v>0</v>
      </c>
      <c r="P41" s="103">
        <v>0</v>
      </c>
      <c r="Q41" s="103">
        <v>0</v>
      </c>
      <c r="R41" s="103">
        <v>0</v>
      </c>
      <c r="S41" s="103">
        <v>0</v>
      </c>
      <c r="T41" s="103">
        <v>0</v>
      </c>
      <c r="U41" s="103">
        <v>0</v>
      </c>
      <c r="V41" s="103">
        <v>0</v>
      </c>
      <c r="W41" s="103">
        <v>0</v>
      </c>
      <c r="X41" s="103">
        <v>0</v>
      </c>
      <c r="Y41" s="104">
        <v>0</v>
      </c>
      <c r="Z41" s="103">
        <v>0</v>
      </c>
      <c r="AA41" s="103">
        <v>0</v>
      </c>
      <c r="AB41" s="104">
        <v>0</v>
      </c>
      <c r="AC41" s="105" t="s">
        <v>1236</v>
      </c>
    </row>
    <row r="42" spans="1:29" ht="16" thickBot="1" x14ac:dyDescent="0.25">
      <c r="A42" s="102" t="s">
        <v>1237</v>
      </c>
      <c r="B42" s="103">
        <v>0</v>
      </c>
      <c r="C42" s="103">
        <v>0</v>
      </c>
      <c r="D42" s="103">
        <v>0</v>
      </c>
      <c r="E42" s="103">
        <v>0</v>
      </c>
      <c r="F42" s="103">
        <v>0</v>
      </c>
      <c r="G42" s="103">
        <v>0</v>
      </c>
      <c r="H42" s="103">
        <v>0</v>
      </c>
      <c r="I42" s="103">
        <v>0</v>
      </c>
      <c r="J42" s="103">
        <v>0</v>
      </c>
      <c r="K42" s="103">
        <v>0</v>
      </c>
      <c r="L42" s="103">
        <v>0</v>
      </c>
      <c r="M42" s="103">
        <v>0</v>
      </c>
      <c r="N42" s="103">
        <v>0</v>
      </c>
      <c r="O42" s="103">
        <v>0</v>
      </c>
      <c r="P42" s="103">
        <v>0</v>
      </c>
      <c r="Q42" s="103">
        <v>0</v>
      </c>
      <c r="R42" s="103">
        <v>0</v>
      </c>
      <c r="S42" s="103">
        <v>0</v>
      </c>
      <c r="T42" s="103">
        <v>0</v>
      </c>
      <c r="U42" s="103">
        <v>0</v>
      </c>
      <c r="V42" s="103">
        <v>0</v>
      </c>
      <c r="W42" s="103">
        <v>0</v>
      </c>
      <c r="X42" s="103">
        <v>0</v>
      </c>
      <c r="Y42" s="104">
        <v>0</v>
      </c>
      <c r="Z42" s="103">
        <v>0</v>
      </c>
      <c r="AA42" s="103">
        <v>0</v>
      </c>
      <c r="AB42" s="104">
        <v>0</v>
      </c>
      <c r="AC42" s="105" t="s">
        <v>1238</v>
      </c>
    </row>
    <row r="43" spans="1:29" ht="16" thickBot="1" x14ac:dyDescent="0.25">
      <c r="A43" s="106" t="s">
        <v>1239</v>
      </c>
      <c r="B43" s="104">
        <v>1540938</v>
      </c>
      <c r="C43" s="104">
        <v>0</v>
      </c>
      <c r="D43" s="104">
        <v>5548977</v>
      </c>
      <c r="E43" s="104">
        <v>0</v>
      </c>
      <c r="F43" s="104">
        <v>0</v>
      </c>
      <c r="G43" s="104">
        <v>0</v>
      </c>
      <c r="H43" s="104">
        <v>0</v>
      </c>
      <c r="I43" s="104">
        <v>11138896</v>
      </c>
      <c r="J43" s="104">
        <v>457789</v>
      </c>
      <c r="K43" s="104">
        <v>273214</v>
      </c>
      <c r="L43" s="104">
        <v>0</v>
      </c>
      <c r="M43" s="104">
        <v>0</v>
      </c>
      <c r="N43" s="104">
        <v>0</v>
      </c>
      <c r="O43" s="104">
        <v>0</v>
      </c>
      <c r="P43" s="104">
        <v>0</v>
      </c>
      <c r="Q43" s="104">
        <v>0</v>
      </c>
      <c r="R43" s="104">
        <v>0</v>
      </c>
      <c r="S43" s="104">
        <v>0</v>
      </c>
      <c r="T43" s="104">
        <v>0</v>
      </c>
      <c r="U43" s="104">
        <v>1385</v>
      </c>
      <c r="V43" s="104">
        <v>3720540</v>
      </c>
      <c r="W43" s="104">
        <v>0</v>
      </c>
      <c r="X43" s="104">
        <v>239958882</v>
      </c>
      <c r="Y43" s="104">
        <v>262640621</v>
      </c>
      <c r="Z43" s="104">
        <v>0</v>
      </c>
      <c r="AA43" s="104">
        <v>194466</v>
      </c>
      <c r="AB43" s="104">
        <v>262835087</v>
      </c>
      <c r="AC43" s="100"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baseColWidth="10" defaultColWidth="9.3984375" defaultRowHeight="15" x14ac:dyDescent="0.2"/>
  <cols>
    <col min="1" max="1" width="42.59765625" style="110" bestFit="1" customWidth="1" collapsed="1"/>
    <col min="2" max="3" width="33.3984375" style="110" customWidth="1" collapsed="1"/>
    <col min="4" max="4" width="42.59765625" style="110" bestFit="1" customWidth="1" collapsed="1"/>
    <col min="5" max="16384" width="9.3984375" style="110" collapsed="1"/>
  </cols>
  <sheetData>
    <row r="1" spans="1:4" ht="18" x14ac:dyDescent="0.2">
      <c r="A1" s="109" t="s">
        <v>1242</v>
      </c>
    </row>
    <row r="3" spans="1:4" ht="17.25" customHeight="1" x14ac:dyDescent="0.2">
      <c r="A3" s="564" t="s">
        <v>1243</v>
      </c>
      <c r="B3" s="564"/>
      <c r="C3" s="565" t="s">
        <v>1244</v>
      </c>
      <c r="D3" s="565"/>
    </row>
    <row r="4" spans="1:4" x14ac:dyDescent="0.2">
      <c r="A4" s="111"/>
      <c r="B4" s="112" t="s">
        <v>17</v>
      </c>
      <c r="C4" s="112" t="s">
        <v>105</v>
      </c>
    </row>
    <row r="5" spans="1:4" ht="16" thickBot="1" x14ac:dyDescent="0.25">
      <c r="A5" s="113" t="s">
        <v>1243</v>
      </c>
      <c r="B5" s="114"/>
      <c r="C5" s="114"/>
      <c r="D5" s="115" t="s">
        <v>1244</v>
      </c>
    </row>
    <row r="6" spans="1:4" ht="16" thickBot="1" x14ac:dyDescent="0.25">
      <c r="A6" s="116" t="s">
        <v>1245</v>
      </c>
      <c r="B6" s="114"/>
      <c r="C6" s="114"/>
      <c r="D6" s="115" t="s">
        <v>1246</v>
      </c>
    </row>
    <row r="7" spans="1:4" ht="29" thickBot="1" x14ac:dyDescent="0.25">
      <c r="A7" s="117" t="s">
        <v>1247</v>
      </c>
      <c r="B7" s="114"/>
      <c r="C7" s="114"/>
      <c r="D7" s="115" t="s">
        <v>1248</v>
      </c>
    </row>
    <row r="8" spans="1:4" ht="29" thickBot="1" x14ac:dyDescent="0.25">
      <c r="A8" s="118" t="s">
        <v>1249</v>
      </c>
      <c r="B8" s="119">
        <v>116653110</v>
      </c>
      <c r="C8" s="119">
        <v>110947606</v>
      </c>
      <c r="D8" s="120" t="s">
        <v>1250</v>
      </c>
    </row>
    <row r="9" spans="1:4" ht="29" thickBot="1" x14ac:dyDescent="0.25">
      <c r="A9" s="118" t="s">
        <v>1251</v>
      </c>
      <c r="B9" s="121">
        <v>13394155</v>
      </c>
      <c r="C9" s="121">
        <v>12578014</v>
      </c>
      <c r="D9" s="120" t="s">
        <v>1252</v>
      </c>
    </row>
    <row r="10" spans="1:4" ht="16" thickBot="1" x14ac:dyDescent="0.25">
      <c r="A10" s="118" t="s">
        <v>1253</v>
      </c>
      <c r="B10" s="119">
        <v>0</v>
      </c>
      <c r="C10" s="119">
        <v>0</v>
      </c>
      <c r="D10" s="120" t="s">
        <v>1254</v>
      </c>
    </row>
    <row r="11" spans="1:4" ht="29" thickBot="1" x14ac:dyDescent="0.25">
      <c r="A11" s="118" t="s">
        <v>1255</v>
      </c>
      <c r="B11" s="119">
        <v>0</v>
      </c>
      <c r="C11" s="119">
        <v>0</v>
      </c>
      <c r="D11" s="120" t="s">
        <v>1256</v>
      </c>
    </row>
    <row r="12" spans="1:4" ht="29" thickBot="1" x14ac:dyDescent="0.25">
      <c r="A12" s="118" t="s">
        <v>1257</v>
      </c>
      <c r="B12" s="121">
        <v>0</v>
      </c>
      <c r="C12" s="121">
        <v>0</v>
      </c>
      <c r="D12" s="120" t="s">
        <v>1258</v>
      </c>
    </row>
    <row r="13" spans="1:4" ht="16" thickBot="1" x14ac:dyDescent="0.25">
      <c r="A13" s="118" t="s">
        <v>1259</v>
      </c>
      <c r="B13" s="119">
        <v>0</v>
      </c>
      <c r="C13" s="119">
        <v>0</v>
      </c>
      <c r="D13" s="120" t="s">
        <v>1260</v>
      </c>
    </row>
    <row r="14" spans="1:4" ht="16" thickBot="1" x14ac:dyDescent="0.25">
      <c r="A14" s="118" t="s">
        <v>1261</v>
      </c>
      <c r="B14" s="119">
        <v>0</v>
      </c>
      <c r="C14" s="119">
        <v>0</v>
      </c>
      <c r="D14" s="120" t="s">
        <v>1262</v>
      </c>
    </row>
    <row r="15" spans="1:4" ht="16" thickBot="1" x14ac:dyDescent="0.25">
      <c r="A15" s="118" t="s">
        <v>1263</v>
      </c>
      <c r="B15" s="119">
        <v>0</v>
      </c>
      <c r="C15" s="119">
        <v>0</v>
      </c>
      <c r="D15" s="120" t="s">
        <v>1264</v>
      </c>
    </row>
    <row r="16" spans="1:4" ht="16" thickBot="1" x14ac:dyDescent="0.25">
      <c r="A16" s="118" t="s">
        <v>1265</v>
      </c>
      <c r="B16" s="119">
        <v>0</v>
      </c>
      <c r="C16" s="119">
        <v>0</v>
      </c>
      <c r="D16" s="120" t="s">
        <v>1266</v>
      </c>
    </row>
    <row r="17" spans="1:4" ht="16" thickBot="1" x14ac:dyDescent="0.25">
      <c r="A17" s="118" t="s">
        <v>1267</v>
      </c>
      <c r="B17" s="119">
        <v>0</v>
      </c>
      <c r="C17" s="119">
        <v>0</v>
      </c>
      <c r="D17" s="120" t="s">
        <v>1268</v>
      </c>
    </row>
    <row r="18" spans="1:4" ht="43" thickBot="1" x14ac:dyDescent="0.25">
      <c r="A18" s="118" t="s">
        <v>1269</v>
      </c>
      <c r="B18" s="119">
        <v>0</v>
      </c>
      <c r="C18" s="119">
        <v>0</v>
      </c>
      <c r="D18" s="120" t="s">
        <v>1270</v>
      </c>
    </row>
    <row r="19" spans="1:4" ht="29" thickBot="1" x14ac:dyDescent="0.25">
      <c r="A19" s="118" t="s">
        <v>1271</v>
      </c>
      <c r="B19" s="119">
        <v>0</v>
      </c>
      <c r="C19" s="119">
        <v>0</v>
      </c>
      <c r="D19" s="120" t="s">
        <v>1272</v>
      </c>
    </row>
    <row r="20" spans="1:4" ht="29" thickBot="1" x14ac:dyDescent="0.25">
      <c r="A20" s="118" t="s">
        <v>1273</v>
      </c>
      <c r="B20" s="119">
        <v>0</v>
      </c>
      <c r="C20" s="119">
        <v>0</v>
      </c>
      <c r="D20" s="120" t="s">
        <v>1274</v>
      </c>
    </row>
    <row r="21" spans="1:4" ht="29" thickBot="1" x14ac:dyDescent="0.25">
      <c r="A21" s="118" t="s">
        <v>1275</v>
      </c>
      <c r="B21" s="119">
        <v>3155605</v>
      </c>
      <c r="C21" s="119">
        <v>6141705</v>
      </c>
      <c r="D21" s="120" t="s">
        <v>1276</v>
      </c>
    </row>
    <row r="22" spans="1:4" ht="29" thickBot="1" x14ac:dyDescent="0.25">
      <c r="A22" s="118" t="s">
        <v>973</v>
      </c>
      <c r="B22" s="119">
        <v>0</v>
      </c>
      <c r="C22" s="119">
        <v>0</v>
      </c>
      <c r="D22" s="120" t="s">
        <v>1277</v>
      </c>
    </row>
    <row r="23" spans="1:4" ht="29" thickBot="1" x14ac:dyDescent="0.25">
      <c r="A23" s="118" t="s">
        <v>1278</v>
      </c>
      <c r="B23" s="121">
        <v>0</v>
      </c>
      <c r="C23" s="121">
        <v>0</v>
      </c>
      <c r="D23" s="120" t="s">
        <v>1279</v>
      </c>
    </row>
    <row r="24" spans="1:4" ht="29" thickBot="1" x14ac:dyDescent="0.25">
      <c r="A24" s="118" t="s">
        <v>1280</v>
      </c>
      <c r="B24" s="121">
        <v>0</v>
      </c>
      <c r="C24" s="121">
        <v>0</v>
      </c>
      <c r="D24" s="120" t="s">
        <v>1281</v>
      </c>
    </row>
    <row r="25" spans="1:4" ht="16" thickBot="1" x14ac:dyDescent="0.25">
      <c r="A25" s="118" t="s">
        <v>1282</v>
      </c>
      <c r="B25" s="121">
        <v>0</v>
      </c>
      <c r="C25" s="121">
        <v>0</v>
      </c>
      <c r="D25" s="120" t="s">
        <v>1283</v>
      </c>
    </row>
    <row r="26" spans="1:4" ht="29" thickBot="1" x14ac:dyDescent="0.25">
      <c r="A26" s="118" t="s">
        <v>1284</v>
      </c>
      <c r="B26" s="121">
        <v>0</v>
      </c>
      <c r="C26" s="121">
        <v>0</v>
      </c>
      <c r="D26" s="120" t="s">
        <v>1285</v>
      </c>
    </row>
    <row r="27" spans="1:4" ht="29" thickBot="1" x14ac:dyDescent="0.25">
      <c r="A27" s="118" t="s">
        <v>1286</v>
      </c>
      <c r="B27" s="121">
        <v>0</v>
      </c>
      <c r="C27" s="121">
        <v>0</v>
      </c>
      <c r="D27" s="120" t="s">
        <v>1287</v>
      </c>
    </row>
    <row r="28" spans="1:4" ht="16" thickBot="1" x14ac:dyDescent="0.25">
      <c r="A28" s="118" t="s">
        <v>1288</v>
      </c>
      <c r="B28" s="119">
        <v>0</v>
      </c>
      <c r="C28" s="119">
        <v>0</v>
      </c>
      <c r="D28" s="120" t="s">
        <v>1289</v>
      </c>
    </row>
    <row r="29" spans="1:4" ht="29" thickBot="1" x14ac:dyDescent="0.25">
      <c r="A29" s="118" t="s">
        <v>1290</v>
      </c>
      <c r="B29" s="119">
        <v>-12512383</v>
      </c>
      <c r="C29" s="119">
        <v>-12282274</v>
      </c>
      <c r="D29" s="120" t="s">
        <v>1291</v>
      </c>
    </row>
    <row r="30" spans="1:4" ht="29" thickBot="1" x14ac:dyDescent="0.25">
      <c r="A30" s="118" t="s">
        <v>1292</v>
      </c>
      <c r="B30" s="121">
        <v>33351462</v>
      </c>
      <c r="C30" s="121">
        <v>33961074</v>
      </c>
      <c r="D30" s="120" t="s">
        <v>1293</v>
      </c>
    </row>
    <row r="31" spans="1:4" ht="29" thickBot="1" x14ac:dyDescent="0.25">
      <c r="A31" s="118" t="s">
        <v>1294</v>
      </c>
      <c r="B31" s="119">
        <v>0</v>
      </c>
      <c r="C31" s="119">
        <v>0</v>
      </c>
      <c r="D31" s="120" t="s">
        <v>1295</v>
      </c>
    </row>
    <row r="32" spans="1:4" ht="29" thickBot="1" x14ac:dyDescent="0.25">
      <c r="A32" s="118" t="s">
        <v>1296</v>
      </c>
      <c r="B32" s="119">
        <v>0</v>
      </c>
      <c r="C32" s="119">
        <v>0</v>
      </c>
      <c r="D32" s="120" t="s">
        <v>1297</v>
      </c>
    </row>
    <row r="33" spans="1:4" ht="29" thickBot="1" x14ac:dyDescent="0.25">
      <c r="A33" s="118" t="s">
        <v>1298</v>
      </c>
      <c r="B33" s="119">
        <v>-2440106</v>
      </c>
      <c r="C33" s="119">
        <v>-1930422</v>
      </c>
      <c r="D33" s="120" t="s">
        <v>1299</v>
      </c>
    </row>
    <row r="34" spans="1:4" ht="16" thickBot="1" x14ac:dyDescent="0.25">
      <c r="A34" s="117" t="s">
        <v>1300</v>
      </c>
      <c r="B34" s="114"/>
      <c r="C34" s="114"/>
      <c r="D34" s="115" t="s">
        <v>1301</v>
      </c>
    </row>
    <row r="35" spans="1:4" ht="29" thickBot="1" x14ac:dyDescent="0.25">
      <c r="A35" s="118" t="s">
        <v>1302</v>
      </c>
      <c r="B35" s="119">
        <v>-599435</v>
      </c>
      <c r="C35" s="119">
        <v>696624</v>
      </c>
      <c r="D35" s="120" t="s">
        <v>1303</v>
      </c>
    </row>
    <row r="36" spans="1:4" ht="29" thickBot="1" x14ac:dyDescent="0.25">
      <c r="A36" s="118" t="s">
        <v>1304</v>
      </c>
      <c r="B36" s="119">
        <v>-11008328</v>
      </c>
      <c r="C36" s="119">
        <v>-5384422</v>
      </c>
      <c r="D36" s="120" t="s">
        <v>1305</v>
      </c>
    </row>
    <row r="37" spans="1:4" ht="29" thickBot="1" x14ac:dyDescent="0.25">
      <c r="A37" s="118" t="s">
        <v>1306</v>
      </c>
      <c r="B37" s="119">
        <v>-3835846</v>
      </c>
      <c r="C37" s="119">
        <v>91646548</v>
      </c>
      <c r="D37" s="120" t="s">
        <v>1307</v>
      </c>
    </row>
    <row r="38" spans="1:4" ht="43" thickBot="1" x14ac:dyDescent="0.25">
      <c r="A38" s="118" t="s">
        <v>1308</v>
      </c>
      <c r="B38" s="119">
        <v>0</v>
      </c>
      <c r="C38" s="119">
        <v>0</v>
      </c>
      <c r="D38" s="120" t="s">
        <v>1309</v>
      </c>
    </row>
    <row r="39" spans="1:4" ht="29" thickBot="1" x14ac:dyDescent="0.25">
      <c r="A39" s="118" t="s">
        <v>1310</v>
      </c>
      <c r="B39" s="119">
        <v>-2929891</v>
      </c>
      <c r="C39" s="119">
        <v>1718437</v>
      </c>
      <c r="D39" s="120" t="s">
        <v>1311</v>
      </c>
    </row>
    <row r="40" spans="1:4" ht="29" thickBot="1" x14ac:dyDescent="0.25">
      <c r="A40" s="118" t="s">
        <v>1312</v>
      </c>
      <c r="B40" s="119">
        <v>366799</v>
      </c>
      <c r="C40" s="119">
        <v>4880997</v>
      </c>
      <c r="D40" s="120" t="s">
        <v>1313</v>
      </c>
    </row>
    <row r="41" spans="1:4" ht="29" thickBot="1" x14ac:dyDescent="0.25">
      <c r="A41" s="118" t="s">
        <v>1314</v>
      </c>
      <c r="B41" s="119">
        <v>-75158559</v>
      </c>
      <c r="C41" s="119">
        <v>-111218318</v>
      </c>
      <c r="D41" s="120" t="s">
        <v>1315</v>
      </c>
    </row>
    <row r="42" spans="1:4" ht="29" thickBot="1" x14ac:dyDescent="0.25">
      <c r="A42" s="118" t="s">
        <v>1316</v>
      </c>
      <c r="B42" s="119">
        <v>-163508</v>
      </c>
      <c r="C42" s="119">
        <v>-1075617</v>
      </c>
      <c r="D42" s="120" t="s">
        <v>1317</v>
      </c>
    </row>
    <row r="43" spans="1:4" ht="16" thickBot="1" x14ac:dyDescent="0.25">
      <c r="A43" s="118" t="s">
        <v>1318</v>
      </c>
      <c r="B43" s="119">
        <v>41223</v>
      </c>
      <c r="C43" s="119">
        <v>88851</v>
      </c>
      <c r="D43" s="120" t="s">
        <v>1319</v>
      </c>
    </row>
    <row r="44" spans="1:4" ht="29" thickBot="1" x14ac:dyDescent="0.25">
      <c r="A44" s="118" t="s">
        <v>1320</v>
      </c>
      <c r="B44" s="119">
        <v>0</v>
      </c>
      <c r="C44" s="119">
        <v>0</v>
      </c>
      <c r="D44" s="120" t="s">
        <v>1321</v>
      </c>
    </row>
    <row r="45" spans="1:4" ht="29" thickBot="1" x14ac:dyDescent="0.25">
      <c r="A45" s="122" t="s">
        <v>1322</v>
      </c>
      <c r="B45" s="114"/>
      <c r="C45" s="114"/>
      <c r="D45" s="115" t="s">
        <v>1323</v>
      </c>
    </row>
    <row r="46" spans="1:4" ht="29" thickBot="1" x14ac:dyDescent="0.25">
      <c r="A46" s="123" t="s">
        <v>1324</v>
      </c>
      <c r="B46" s="119">
        <v>0</v>
      </c>
      <c r="C46" s="119">
        <v>0</v>
      </c>
      <c r="D46" s="120" t="s">
        <v>1325</v>
      </c>
    </row>
    <row r="47" spans="1:4" ht="29" thickBot="1" x14ac:dyDescent="0.25">
      <c r="A47" s="123" t="s">
        <v>1326</v>
      </c>
      <c r="B47" s="119">
        <v>0</v>
      </c>
      <c r="C47" s="119">
        <v>0</v>
      </c>
      <c r="D47" s="120" t="s">
        <v>1327</v>
      </c>
    </row>
    <row r="48" spans="1:4" ht="29" thickBot="1" x14ac:dyDescent="0.25">
      <c r="A48" s="123" t="s">
        <v>1328</v>
      </c>
      <c r="B48" s="119">
        <v>0</v>
      </c>
      <c r="C48" s="119">
        <v>0</v>
      </c>
      <c r="D48" s="120" t="s">
        <v>1329</v>
      </c>
    </row>
    <row r="49" spans="1:4" ht="29" thickBot="1" x14ac:dyDescent="0.25">
      <c r="A49" s="123" t="s">
        <v>1330</v>
      </c>
      <c r="B49" s="119">
        <v>0</v>
      </c>
      <c r="C49" s="119">
        <v>0</v>
      </c>
      <c r="D49" s="120" t="s">
        <v>1331</v>
      </c>
    </row>
    <row r="50" spans="1:4" ht="29" thickBot="1" x14ac:dyDescent="0.25">
      <c r="A50" s="123" t="s">
        <v>1332</v>
      </c>
      <c r="B50" s="119">
        <v>0</v>
      </c>
      <c r="C50" s="119">
        <v>0</v>
      </c>
      <c r="D50" s="120" t="s">
        <v>1333</v>
      </c>
    </row>
    <row r="51" spans="1:4" ht="29" thickBot="1" x14ac:dyDescent="0.25">
      <c r="A51" s="123" t="s">
        <v>1334</v>
      </c>
      <c r="B51" s="119">
        <v>0</v>
      </c>
      <c r="C51" s="119">
        <v>0</v>
      </c>
      <c r="D51" s="120" t="s">
        <v>1335</v>
      </c>
    </row>
    <row r="52" spans="1:4" ht="16" thickBot="1" x14ac:dyDescent="0.25">
      <c r="A52" s="123" t="s">
        <v>1336</v>
      </c>
      <c r="B52" s="119">
        <v>0</v>
      </c>
      <c r="C52" s="119">
        <v>0</v>
      </c>
      <c r="D52" s="120" t="s">
        <v>1337</v>
      </c>
    </row>
    <row r="53" spans="1:4" ht="16" thickBot="1" x14ac:dyDescent="0.25">
      <c r="A53" s="118" t="s">
        <v>1338</v>
      </c>
      <c r="B53" s="119">
        <v>-2502671</v>
      </c>
      <c r="C53" s="119">
        <v>-1696820</v>
      </c>
      <c r="D53" s="120" t="s">
        <v>1339</v>
      </c>
    </row>
    <row r="54" spans="1:4" ht="29" thickBot="1" x14ac:dyDescent="0.25">
      <c r="A54" s="118" t="s">
        <v>1340</v>
      </c>
      <c r="B54" s="119">
        <v>0</v>
      </c>
      <c r="C54" s="119">
        <v>0</v>
      </c>
      <c r="D54" s="120" t="s">
        <v>1341</v>
      </c>
    </row>
    <row r="55" spans="1:4" ht="29" thickBot="1" x14ac:dyDescent="0.25">
      <c r="A55" s="118" t="s">
        <v>1342</v>
      </c>
      <c r="B55" s="119">
        <v>0</v>
      </c>
      <c r="C55" s="119">
        <v>0</v>
      </c>
      <c r="D55" s="120" t="s">
        <v>1343</v>
      </c>
    </row>
    <row r="56" spans="1:4" ht="16" thickBot="1" x14ac:dyDescent="0.25">
      <c r="A56" s="118" t="s">
        <v>1344</v>
      </c>
      <c r="B56" s="119">
        <v>0</v>
      </c>
      <c r="C56" s="119">
        <v>0</v>
      </c>
      <c r="D56" s="120" t="s">
        <v>1345</v>
      </c>
    </row>
    <row r="57" spans="1:4" ht="16" thickBot="1" x14ac:dyDescent="0.25">
      <c r="A57" s="118" t="s">
        <v>1346</v>
      </c>
      <c r="B57" s="119">
        <v>-368424</v>
      </c>
      <c r="C57" s="119">
        <v>-138657</v>
      </c>
      <c r="D57" s="120" t="s">
        <v>1347</v>
      </c>
    </row>
    <row r="58" spans="1:4" ht="29" thickBot="1" x14ac:dyDescent="0.25">
      <c r="A58" s="117" t="s">
        <v>1348</v>
      </c>
      <c r="B58" s="114"/>
      <c r="C58" s="114"/>
      <c r="D58" s="115" t="s">
        <v>1349</v>
      </c>
    </row>
    <row r="59" spans="1:4" ht="29" thickBot="1" x14ac:dyDescent="0.25">
      <c r="A59" s="118" t="s">
        <v>1350</v>
      </c>
      <c r="B59" s="119">
        <v>0</v>
      </c>
      <c r="C59" s="119">
        <v>0</v>
      </c>
      <c r="D59" s="120" t="s">
        <v>1351</v>
      </c>
    </row>
    <row r="60" spans="1:4" ht="29" thickBot="1" x14ac:dyDescent="0.25">
      <c r="A60" s="118" t="s">
        <v>1352</v>
      </c>
      <c r="B60" s="119">
        <v>117824737</v>
      </c>
      <c r="C60" s="119">
        <v>36034343</v>
      </c>
      <c r="D60" s="120" t="s">
        <v>1353</v>
      </c>
    </row>
    <row r="61" spans="1:4" ht="29" thickBot="1" x14ac:dyDescent="0.25">
      <c r="A61" s="118" t="s">
        <v>1354</v>
      </c>
      <c r="B61" s="119">
        <v>-7414684</v>
      </c>
      <c r="C61" s="119">
        <v>-9343501</v>
      </c>
      <c r="D61" s="120" t="s">
        <v>1355</v>
      </c>
    </row>
    <row r="62" spans="1:4" ht="29" thickBot="1" x14ac:dyDescent="0.25">
      <c r="A62" s="118" t="s">
        <v>1356</v>
      </c>
      <c r="B62" s="119">
        <v>0</v>
      </c>
      <c r="C62" s="119">
        <v>0</v>
      </c>
      <c r="D62" s="120" t="s">
        <v>1357</v>
      </c>
    </row>
    <row r="63" spans="1:4" ht="29" thickBot="1" x14ac:dyDescent="0.25">
      <c r="A63" s="118" t="s">
        <v>1358</v>
      </c>
      <c r="B63" s="119">
        <v>1215478</v>
      </c>
      <c r="C63" s="119">
        <v>309709</v>
      </c>
      <c r="D63" s="120" t="s">
        <v>1359</v>
      </c>
    </row>
    <row r="64" spans="1:4" ht="29" thickBot="1" x14ac:dyDescent="0.25">
      <c r="A64" s="118" t="s">
        <v>1360</v>
      </c>
      <c r="B64" s="119">
        <v>0</v>
      </c>
      <c r="C64" s="119">
        <v>0</v>
      </c>
      <c r="D64" s="120" t="s">
        <v>1361</v>
      </c>
    </row>
    <row r="65" spans="1:4" ht="29" thickBot="1" x14ac:dyDescent="0.25">
      <c r="A65" s="118" t="s">
        <v>1362</v>
      </c>
      <c r="B65" s="119">
        <v>255355</v>
      </c>
      <c r="C65" s="119">
        <v>-6480950</v>
      </c>
      <c r="D65" s="120" t="s">
        <v>1363</v>
      </c>
    </row>
    <row r="66" spans="1:4" ht="29" thickBot="1" x14ac:dyDescent="0.25">
      <c r="A66" s="118" t="s">
        <v>1364</v>
      </c>
      <c r="B66" s="119">
        <v>0</v>
      </c>
      <c r="C66" s="119">
        <v>0</v>
      </c>
      <c r="D66" s="120" t="s">
        <v>1365</v>
      </c>
    </row>
    <row r="67" spans="1:4" ht="29" thickBot="1" x14ac:dyDescent="0.25">
      <c r="A67" s="118" t="s">
        <v>1366</v>
      </c>
      <c r="B67" s="119">
        <v>0</v>
      </c>
      <c r="C67" s="119">
        <v>0</v>
      </c>
      <c r="D67" s="120" t="s">
        <v>1367</v>
      </c>
    </row>
    <row r="68" spans="1:4" ht="29" thickBot="1" x14ac:dyDescent="0.25">
      <c r="A68" s="118" t="s">
        <v>1368</v>
      </c>
      <c r="B68" s="119">
        <v>0</v>
      </c>
      <c r="C68" s="119">
        <v>0</v>
      </c>
      <c r="D68" s="120" t="s">
        <v>1369</v>
      </c>
    </row>
    <row r="69" spans="1:4" ht="29" thickBot="1" x14ac:dyDescent="0.25">
      <c r="A69" s="118" t="s">
        <v>1370</v>
      </c>
      <c r="B69" s="119">
        <v>81907</v>
      </c>
      <c r="C69" s="119">
        <v>-2049301</v>
      </c>
      <c r="D69" s="120" t="s">
        <v>1371</v>
      </c>
    </row>
    <row r="70" spans="1:4" ht="43" thickBot="1" x14ac:dyDescent="0.25">
      <c r="A70" s="118" t="s">
        <v>925</v>
      </c>
      <c r="B70" s="119">
        <v>0</v>
      </c>
      <c r="C70" s="119">
        <v>0</v>
      </c>
      <c r="D70" s="120" t="s">
        <v>1372</v>
      </c>
    </row>
    <row r="71" spans="1:4" ht="29" thickBot="1" x14ac:dyDescent="0.25">
      <c r="A71" s="118" t="s">
        <v>1373</v>
      </c>
      <c r="B71" s="119">
        <v>0</v>
      </c>
      <c r="C71" s="119">
        <v>0</v>
      </c>
      <c r="D71" s="120" t="s">
        <v>1374</v>
      </c>
    </row>
    <row r="72" spans="1:4" ht="29" thickBot="1" x14ac:dyDescent="0.25">
      <c r="A72" s="118" t="s">
        <v>1375</v>
      </c>
      <c r="B72" s="119">
        <v>1145878</v>
      </c>
      <c r="C72" s="119">
        <v>1592945</v>
      </c>
      <c r="D72" s="120" t="s">
        <v>1376</v>
      </c>
    </row>
    <row r="73" spans="1:4" ht="29" thickBot="1" x14ac:dyDescent="0.25">
      <c r="A73" s="118" t="s">
        <v>1377</v>
      </c>
      <c r="B73" s="119">
        <v>2448145</v>
      </c>
      <c r="C73" s="119">
        <v>-2098166</v>
      </c>
      <c r="D73" s="120" t="s">
        <v>1378</v>
      </c>
    </row>
    <row r="74" spans="1:4" ht="43" thickBot="1" x14ac:dyDescent="0.25">
      <c r="A74" s="117" t="s">
        <v>1379</v>
      </c>
      <c r="B74" s="124">
        <v>77508785</v>
      </c>
      <c r="C74" s="124">
        <v>53820229</v>
      </c>
      <c r="D74" s="115" t="s">
        <v>1380</v>
      </c>
    </row>
    <row r="75" spans="1:4" ht="16" thickBot="1" x14ac:dyDescent="0.25">
      <c r="A75" s="116" t="s">
        <v>1381</v>
      </c>
      <c r="B75" s="114"/>
      <c r="C75" s="114"/>
      <c r="D75" s="115" t="s">
        <v>1382</v>
      </c>
    </row>
    <row r="76" spans="1:4" ht="57" thickBot="1" x14ac:dyDescent="0.25">
      <c r="A76" s="125" t="s">
        <v>1383</v>
      </c>
      <c r="B76" s="119">
        <v>0</v>
      </c>
      <c r="C76" s="119">
        <v>0</v>
      </c>
      <c r="D76" s="120" t="s">
        <v>1384</v>
      </c>
    </row>
    <row r="77" spans="1:4" ht="29" thickBot="1" x14ac:dyDescent="0.25">
      <c r="A77" s="125" t="s">
        <v>1385</v>
      </c>
      <c r="B77" s="119">
        <v>0</v>
      </c>
      <c r="C77" s="119">
        <v>0</v>
      </c>
      <c r="D77" s="120" t="s">
        <v>1386</v>
      </c>
    </row>
    <row r="78" spans="1:4" ht="29" thickBot="1" x14ac:dyDescent="0.25">
      <c r="A78" s="125" t="s">
        <v>1387</v>
      </c>
      <c r="B78" s="119">
        <v>107764</v>
      </c>
      <c r="C78" s="119">
        <v>38095</v>
      </c>
      <c r="D78" s="120" t="s">
        <v>1388</v>
      </c>
    </row>
    <row r="79" spans="1:4" ht="29" thickBot="1" x14ac:dyDescent="0.25">
      <c r="A79" s="125" t="s">
        <v>1389</v>
      </c>
      <c r="B79" s="119">
        <v>0</v>
      </c>
      <c r="C79" s="119">
        <v>0</v>
      </c>
      <c r="D79" s="120" t="s">
        <v>1390</v>
      </c>
    </row>
    <row r="80" spans="1:4" ht="29" thickBot="1" x14ac:dyDescent="0.25">
      <c r="A80" s="125" t="s">
        <v>1391</v>
      </c>
      <c r="B80" s="119">
        <v>-2445295</v>
      </c>
      <c r="C80" s="119">
        <v>-4166801</v>
      </c>
      <c r="D80" s="120" t="s">
        <v>1392</v>
      </c>
    </row>
    <row r="81" spans="1:4" ht="29" thickBot="1" x14ac:dyDescent="0.25">
      <c r="A81" s="125" t="s">
        <v>1393</v>
      </c>
      <c r="B81" s="119">
        <v>0</v>
      </c>
      <c r="C81" s="119">
        <v>0</v>
      </c>
      <c r="D81" s="120" t="s">
        <v>1394</v>
      </c>
    </row>
    <row r="82" spans="1:4" ht="43" thickBot="1" x14ac:dyDescent="0.25">
      <c r="A82" s="125" t="s">
        <v>1395</v>
      </c>
      <c r="B82" s="119">
        <v>0</v>
      </c>
      <c r="C82" s="119">
        <v>0</v>
      </c>
      <c r="D82" s="120" t="s">
        <v>1396</v>
      </c>
    </row>
    <row r="83" spans="1:4" ht="29" thickBot="1" x14ac:dyDescent="0.25">
      <c r="A83" s="125" t="s">
        <v>1397</v>
      </c>
      <c r="B83" s="121">
        <v>0</v>
      </c>
      <c r="C83" s="121">
        <v>0</v>
      </c>
      <c r="D83" s="120" t="s">
        <v>1398</v>
      </c>
    </row>
    <row r="84" spans="1:4" ht="29" thickBot="1" x14ac:dyDescent="0.25">
      <c r="A84" s="125" t="s">
        <v>1399</v>
      </c>
      <c r="B84" s="119">
        <v>0</v>
      </c>
      <c r="C84" s="119">
        <v>0</v>
      </c>
      <c r="D84" s="120" t="s">
        <v>1400</v>
      </c>
    </row>
    <row r="85" spans="1:4" ht="29" thickBot="1" x14ac:dyDescent="0.25">
      <c r="A85" s="125" t="s">
        <v>1401</v>
      </c>
      <c r="B85" s="119">
        <v>0</v>
      </c>
      <c r="C85" s="119">
        <v>0</v>
      </c>
      <c r="D85" s="120" t="s">
        <v>1402</v>
      </c>
    </row>
    <row r="86" spans="1:4" ht="29" thickBot="1" x14ac:dyDescent="0.25">
      <c r="A86" s="125" t="s">
        <v>1403</v>
      </c>
      <c r="B86" s="121">
        <v>0</v>
      </c>
      <c r="C86" s="121">
        <v>0</v>
      </c>
      <c r="D86" s="120" t="s">
        <v>1404</v>
      </c>
    </row>
    <row r="87" spans="1:4" ht="29" thickBot="1" x14ac:dyDescent="0.25">
      <c r="A87" s="125" t="s">
        <v>1405</v>
      </c>
      <c r="B87" s="119">
        <v>0</v>
      </c>
      <c r="C87" s="119">
        <v>0</v>
      </c>
      <c r="D87" s="120" t="s">
        <v>1406</v>
      </c>
    </row>
    <row r="88" spans="1:4" ht="43" thickBot="1" x14ac:dyDescent="0.25">
      <c r="A88" s="125" t="s">
        <v>1407</v>
      </c>
      <c r="B88" s="121">
        <v>0</v>
      </c>
      <c r="C88" s="121">
        <v>0</v>
      </c>
      <c r="D88" s="120" t="s">
        <v>1408</v>
      </c>
    </row>
    <row r="89" spans="1:4" ht="29" thickBot="1" x14ac:dyDescent="0.25">
      <c r="A89" s="125" t="s">
        <v>1409</v>
      </c>
      <c r="B89" s="119">
        <v>0</v>
      </c>
      <c r="C89" s="119">
        <v>0</v>
      </c>
      <c r="D89" s="120" t="s">
        <v>1410</v>
      </c>
    </row>
    <row r="90" spans="1:4" ht="57" thickBot="1" x14ac:dyDescent="0.25">
      <c r="A90" s="125" t="s">
        <v>1411</v>
      </c>
      <c r="B90" s="119">
        <v>0</v>
      </c>
      <c r="C90" s="119">
        <v>0</v>
      </c>
      <c r="D90" s="120" t="s">
        <v>1412</v>
      </c>
    </row>
    <row r="91" spans="1:4" ht="29" thickBot="1" x14ac:dyDescent="0.25">
      <c r="A91" s="125" t="s">
        <v>1413</v>
      </c>
      <c r="B91" s="121">
        <v>0</v>
      </c>
      <c r="C91" s="121">
        <v>0</v>
      </c>
      <c r="D91" s="120" t="s">
        <v>1414</v>
      </c>
    </row>
    <row r="92" spans="1:4" ht="29" thickBot="1" x14ac:dyDescent="0.25">
      <c r="A92" s="125" t="s">
        <v>1415</v>
      </c>
      <c r="B92" s="119">
        <v>0</v>
      </c>
      <c r="C92" s="119">
        <v>0</v>
      </c>
      <c r="D92" s="120" t="s">
        <v>1416</v>
      </c>
    </row>
    <row r="93" spans="1:4" ht="29" thickBot="1" x14ac:dyDescent="0.25">
      <c r="A93" s="125" t="s">
        <v>1417</v>
      </c>
      <c r="B93" s="119">
        <v>-31353395</v>
      </c>
      <c r="C93" s="119">
        <v>-54819800</v>
      </c>
      <c r="D93" s="120" t="s">
        <v>1418</v>
      </c>
    </row>
    <row r="94" spans="1:4" ht="43" thickBot="1" x14ac:dyDescent="0.25">
      <c r="A94" s="117" t="s">
        <v>1419</v>
      </c>
      <c r="B94" s="124">
        <v>-33690926</v>
      </c>
      <c r="C94" s="124">
        <v>-58948506</v>
      </c>
      <c r="D94" s="115" t="s">
        <v>1420</v>
      </c>
    </row>
    <row r="95" spans="1:4" ht="16" thickBot="1" x14ac:dyDescent="0.25">
      <c r="A95" s="116" t="s">
        <v>1421</v>
      </c>
      <c r="B95" s="114"/>
      <c r="C95" s="114"/>
      <c r="D95" s="115" t="s">
        <v>1422</v>
      </c>
    </row>
    <row r="96" spans="1:4" ht="29" thickBot="1" x14ac:dyDescent="0.25">
      <c r="A96" s="125" t="s">
        <v>1423</v>
      </c>
      <c r="B96" s="119">
        <v>-435000</v>
      </c>
      <c r="C96" s="119">
        <v>0</v>
      </c>
      <c r="D96" s="120" t="s">
        <v>1424</v>
      </c>
    </row>
    <row r="97" spans="1:4" ht="16" thickBot="1" x14ac:dyDescent="0.25">
      <c r="A97" s="125" t="s">
        <v>1425</v>
      </c>
      <c r="B97" s="119">
        <v>0</v>
      </c>
      <c r="C97" s="119">
        <v>0</v>
      </c>
      <c r="D97" s="120" t="s">
        <v>1426</v>
      </c>
    </row>
    <row r="98" spans="1:4" ht="29" thickBot="1" x14ac:dyDescent="0.25">
      <c r="A98" s="125" t="s">
        <v>1427</v>
      </c>
      <c r="B98" s="121">
        <v>0</v>
      </c>
      <c r="C98" s="121">
        <v>0</v>
      </c>
      <c r="D98" s="120" t="s">
        <v>1428</v>
      </c>
    </row>
    <row r="99" spans="1:4" ht="16" thickBot="1" x14ac:dyDescent="0.25">
      <c r="A99" s="125" t="s">
        <v>1429</v>
      </c>
      <c r="B99" s="121">
        <v>0</v>
      </c>
      <c r="C99" s="121">
        <v>0</v>
      </c>
      <c r="D99" s="120" t="s">
        <v>1430</v>
      </c>
    </row>
    <row r="100" spans="1:4" ht="16" thickBot="1" x14ac:dyDescent="0.25">
      <c r="A100" s="125" t="s">
        <v>1431</v>
      </c>
      <c r="B100" s="119">
        <v>60800000</v>
      </c>
      <c r="C100" s="119">
        <v>73287728</v>
      </c>
      <c r="D100" s="120" t="s">
        <v>1432</v>
      </c>
    </row>
    <row r="101" spans="1:4" ht="16" thickBot="1" x14ac:dyDescent="0.25">
      <c r="A101" s="125" t="s">
        <v>1433</v>
      </c>
      <c r="B101" s="121">
        <v>60995080</v>
      </c>
      <c r="C101" s="121">
        <v>72680017</v>
      </c>
      <c r="D101" s="120" t="s">
        <v>1434</v>
      </c>
    </row>
    <row r="102" spans="1:4" ht="16" thickBot="1" x14ac:dyDescent="0.25">
      <c r="A102" s="125" t="s">
        <v>1435</v>
      </c>
      <c r="B102" s="119">
        <v>0</v>
      </c>
      <c r="C102" s="119">
        <v>0</v>
      </c>
      <c r="D102" s="120" t="s">
        <v>1436</v>
      </c>
    </row>
    <row r="103" spans="1:4" ht="16" thickBot="1" x14ac:dyDescent="0.25">
      <c r="A103" s="125" t="s">
        <v>1437</v>
      </c>
      <c r="B103" s="121">
        <v>0</v>
      </c>
      <c r="C103" s="121">
        <v>0</v>
      </c>
      <c r="D103" s="120" t="s">
        <v>1438</v>
      </c>
    </row>
    <row r="104" spans="1:4" ht="16" thickBot="1" x14ac:dyDescent="0.25">
      <c r="A104" s="125" t="s">
        <v>1439</v>
      </c>
      <c r="B104" s="121">
        <v>0</v>
      </c>
      <c r="C104" s="121">
        <v>0</v>
      </c>
      <c r="D104" s="120" t="s">
        <v>1440</v>
      </c>
    </row>
    <row r="105" spans="1:4" ht="16" thickBot="1" x14ac:dyDescent="0.25">
      <c r="A105" s="125" t="s">
        <v>1441</v>
      </c>
      <c r="B105" s="119">
        <v>0</v>
      </c>
      <c r="C105" s="119">
        <v>0</v>
      </c>
      <c r="D105" s="120" t="s">
        <v>1442</v>
      </c>
    </row>
    <row r="106" spans="1:4" ht="16" thickBot="1" x14ac:dyDescent="0.25">
      <c r="A106" s="125" t="s">
        <v>1443</v>
      </c>
      <c r="B106" s="121">
        <v>0</v>
      </c>
      <c r="C106" s="121">
        <v>0</v>
      </c>
      <c r="D106" s="120" t="s">
        <v>1444</v>
      </c>
    </row>
    <row r="107" spans="1:4" ht="29" thickBot="1" x14ac:dyDescent="0.25">
      <c r="A107" s="125" t="s">
        <v>1445</v>
      </c>
      <c r="B107" s="121">
        <v>0</v>
      </c>
      <c r="C107" s="121">
        <v>0</v>
      </c>
      <c r="D107" s="120" t="s">
        <v>1446</v>
      </c>
    </row>
    <row r="108" spans="1:4" ht="16" thickBot="1" x14ac:dyDescent="0.25">
      <c r="A108" s="125" t="s">
        <v>1447</v>
      </c>
      <c r="B108" s="119">
        <v>0</v>
      </c>
      <c r="C108" s="119">
        <v>0</v>
      </c>
      <c r="D108" s="120" t="s">
        <v>1448</v>
      </c>
    </row>
    <row r="109" spans="1:4" ht="16" thickBot="1" x14ac:dyDescent="0.25">
      <c r="A109" s="125" t="s">
        <v>1449</v>
      </c>
      <c r="B109" s="121">
        <v>0</v>
      </c>
      <c r="C109" s="121">
        <v>0</v>
      </c>
      <c r="D109" s="120" t="s">
        <v>1450</v>
      </c>
    </row>
    <row r="110" spans="1:4" ht="29" thickBot="1" x14ac:dyDescent="0.25">
      <c r="A110" s="125" t="s">
        <v>1451</v>
      </c>
      <c r="B110" s="121">
        <v>0</v>
      </c>
      <c r="C110" s="121">
        <v>0</v>
      </c>
      <c r="D110" s="120" t="s">
        <v>1452</v>
      </c>
    </row>
    <row r="111" spans="1:4" ht="29" thickBot="1" x14ac:dyDescent="0.25">
      <c r="A111" s="125" t="s">
        <v>1453</v>
      </c>
      <c r="B111" s="119">
        <v>0</v>
      </c>
      <c r="C111" s="119">
        <v>0</v>
      </c>
      <c r="D111" s="120" t="s">
        <v>1454</v>
      </c>
    </row>
    <row r="112" spans="1:4" ht="29" thickBot="1" x14ac:dyDescent="0.25">
      <c r="A112" s="125" t="s">
        <v>1455</v>
      </c>
      <c r="B112" s="121">
        <v>0</v>
      </c>
      <c r="C112" s="121">
        <v>0</v>
      </c>
      <c r="D112" s="120" t="s">
        <v>1456</v>
      </c>
    </row>
    <row r="113" spans="1:4" ht="29" thickBot="1" x14ac:dyDescent="0.25">
      <c r="A113" s="125" t="s">
        <v>1457</v>
      </c>
      <c r="B113" s="119">
        <v>0</v>
      </c>
      <c r="C113" s="119">
        <v>0</v>
      </c>
      <c r="D113" s="120" t="s">
        <v>1458</v>
      </c>
    </row>
    <row r="114" spans="1:4" ht="16" thickBot="1" x14ac:dyDescent="0.25">
      <c r="A114" s="125" t="s">
        <v>1459</v>
      </c>
      <c r="B114" s="121">
        <v>0</v>
      </c>
      <c r="C114" s="121">
        <v>0</v>
      </c>
      <c r="D114" s="120" t="s">
        <v>1460</v>
      </c>
    </row>
    <row r="115" spans="1:4" ht="16" thickBot="1" x14ac:dyDescent="0.25">
      <c r="A115" s="125" t="s">
        <v>1461</v>
      </c>
      <c r="B115" s="119">
        <v>0</v>
      </c>
      <c r="C115" s="119">
        <v>0</v>
      </c>
      <c r="D115" s="120" t="s">
        <v>1462</v>
      </c>
    </row>
    <row r="116" spans="1:4" ht="29" thickBot="1" x14ac:dyDescent="0.25">
      <c r="A116" s="125" t="s">
        <v>1463</v>
      </c>
      <c r="B116" s="119">
        <v>0</v>
      </c>
      <c r="C116" s="119">
        <v>0</v>
      </c>
      <c r="D116" s="120" t="s">
        <v>1464</v>
      </c>
    </row>
    <row r="117" spans="1:4" ht="29" thickBot="1" x14ac:dyDescent="0.25">
      <c r="A117" s="125" t="s">
        <v>1465</v>
      </c>
      <c r="B117" s="119">
        <v>-2152514</v>
      </c>
      <c r="C117" s="119">
        <v>0</v>
      </c>
      <c r="D117" s="120" t="s">
        <v>1466</v>
      </c>
    </row>
    <row r="118" spans="1:4" ht="29" thickBot="1" x14ac:dyDescent="0.25">
      <c r="A118" s="125" t="s">
        <v>1467</v>
      </c>
      <c r="B118" s="119">
        <v>0</v>
      </c>
      <c r="C118" s="119">
        <v>0</v>
      </c>
      <c r="D118" s="120" t="s">
        <v>1468</v>
      </c>
    </row>
    <row r="119" spans="1:4" ht="29" thickBot="1" x14ac:dyDescent="0.25">
      <c r="A119" s="125" t="s">
        <v>1469</v>
      </c>
      <c r="B119" s="119">
        <v>0</v>
      </c>
      <c r="C119" s="119">
        <v>0</v>
      </c>
      <c r="D119" s="120" t="s">
        <v>1470</v>
      </c>
    </row>
    <row r="120" spans="1:4" ht="29" thickBot="1" x14ac:dyDescent="0.25">
      <c r="A120" s="125" t="s">
        <v>1471</v>
      </c>
      <c r="B120" s="121">
        <v>37595047</v>
      </c>
      <c r="C120" s="121">
        <v>34208826</v>
      </c>
      <c r="D120" s="120" t="s">
        <v>1472</v>
      </c>
    </row>
    <row r="121" spans="1:4" ht="29" thickBot="1" x14ac:dyDescent="0.25">
      <c r="A121" s="125" t="s">
        <v>1473</v>
      </c>
      <c r="B121" s="119">
        <v>-1330996</v>
      </c>
      <c r="C121" s="119">
        <v>272426</v>
      </c>
      <c r="D121" s="120" t="s">
        <v>1474</v>
      </c>
    </row>
    <row r="122" spans="1:4" ht="43" thickBot="1" x14ac:dyDescent="0.25">
      <c r="A122" s="117" t="s">
        <v>1475</v>
      </c>
      <c r="B122" s="124">
        <v>-41708637</v>
      </c>
      <c r="C122" s="124">
        <v>-33328689</v>
      </c>
      <c r="D122" s="115" t="s">
        <v>1476</v>
      </c>
    </row>
    <row r="123" spans="1:4" ht="29" thickBot="1" x14ac:dyDescent="0.25">
      <c r="A123" s="116" t="s">
        <v>1477</v>
      </c>
      <c r="B123" s="124">
        <v>2109222</v>
      </c>
      <c r="C123" s="124">
        <v>-38456966</v>
      </c>
      <c r="D123" s="115" t="s">
        <v>1478</v>
      </c>
    </row>
    <row r="124" spans="1:4" ht="29" thickBot="1" x14ac:dyDescent="0.25">
      <c r="A124" s="126" t="s">
        <v>1479</v>
      </c>
      <c r="B124" s="119">
        <v>85482530</v>
      </c>
      <c r="C124" s="119">
        <v>124395987</v>
      </c>
      <c r="D124" s="120" t="s">
        <v>1480</v>
      </c>
    </row>
    <row r="125" spans="1:4" ht="29" thickBot="1" x14ac:dyDescent="0.25">
      <c r="A125" s="126" t="s">
        <v>1481</v>
      </c>
      <c r="B125" s="119">
        <v>-42424</v>
      </c>
      <c r="C125" s="119">
        <v>-456491</v>
      </c>
      <c r="D125" s="120" t="s">
        <v>1482</v>
      </c>
    </row>
    <row r="126" spans="1:4" ht="29" thickBot="1" x14ac:dyDescent="0.25">
      <c r="A126" s="126" t="s">
        <v>1483</v>
      </c>
      <c r="B126" s="119">
        <v>0</v>
      </c>
      <c r="C126" s="119">
        <v>0</v>
      </c>
      <c r="D126" s="120" t="s">
        <v>1484</v>
      </c>
    </row>
    <row r="127" spans="1:4" ht="29" thickBot="1" x14ac:dyDescent="0.25">
      <c r="A127" s="126" t="s">
        <v>1485</v>
      </c>
      <c r="B127" s="119">
        <v>0</v>
      </c>
      <c r="C127" s="119">
        <v>0</v>
      </c>
      <c r="D127" s="120" t="s">
        <v>1486</v>
      </c>
    </row>
    <row r="128" spans="1:4" ht="29" thickBot="1" x14ac:dyDescent="0.25">
      <c r="A128" s="116" t="s">
        <v>1487</v>
      </c>
      <c r="B128" s="124">
        <v>87549328</v>
      </c>
      <c r="C128" s="124">
        <v>85482530</v>
      </c>
      <c r="D128" s="115"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baseColWidth="10" defaultColWidth="9.3984375" defaultRowHeight="15" x14ac:dyDescent="0.2"/>
  <cols>
    <col min="1" max="1" width="42.59765625" style="128" bestFit="1" customWidth="1" collapsed="1"/>
    <col min="2" max="3" width="33.3984375" style="128" customWidth="1" collapsed="1"/>
    <col min="4" max="4" width="42.59765625" style="128" bestFit="1" customWidth="1" collapsed="1"/>
    <col min="5" max="16384" width="9.3984375" style="128" collapsed="1"/>
  </cols>
  <sheetData>
    <row r="1" spans="1:4" ht="18" x14ac:dyDescent="0.2">
      <c r="A1" s="127" t="s">
        <v>1489</v>
      </c>
    </row>
    <row r="3" spans="1:4" ht="17.25" customHeight="1" x14ac:dyDescent="0.2">
      <c r="A3" s="566" t="s">
        <v>1243</v>
      </c>
      <c r="B3" s="566"/>
      <c r="C3" s="567" t="s">
        <v>1244</v>
      </c>
      <c r="D3" s="567"/>
    </row>
    <row r="4" spans="1:4" x14ac:dyDescent="0.2">
      <c r="A4" s="129"/>
      <c r="B4" s="130" t="s">
        <v>17</v>
      </c>
      <c r="C4" s="130" t="s">
        <v>106</v>
      </c>
    </row>
    <row r="5" spans="1:4" ht="16" thickBot="1" x14ac:dyDescent="0.25">
      <c r="A5" s="131" t="s">
        <v>1243</v>
      </c>
      <c r="B5" s="132"/>
      <c r="C5" s="132"/>
      <c r="D5" s="133" t="s">
        <v>1244</v>
      </c>
    </row>
    <row r="6" spans="1:4" ht="16" thickBot="1" x14ac:dyDescent="0.25">
      <c r="A6" s="134" t="s">
        <v>1245</v>
      </c>
      <c r="B6" s="132"/>
      <c r="C6" s="132"/>
      <c r="D6" s="133" t="s">
        <v>1246</v>
      </c>
    </row>
    <row r="7" spans="1:4" ht="29" thickBot="1" x14ac:dyDescent="0.25">
      <c r="A7" s="135" t="s">
        <v>1247</v>
      </c>
      <c r="B7" s="132"/>
      <c r="C7" s="132"/>
      <c r="D7" s="133" t="s">
        <v>1248</v>
      </c>
    </row>
    <row r="8" spans="1:4" ht="16" thickBot="1" x14ac:dyDescent="0.25">
      <c r="A8" s="136" t="s">
        <v>1185</v>
      </c>
      <c r="B8" s="137"/>
      <c r="C8" s="137"/>
      <c r="D8" s="138" t="s">
        <v>1186</v>
      </c>
    </row>
    <row r="9" spans="1:4" ht="16" thickBot="1" x14ac:dyDescent="0.25">
      <c r="A9" s="139" t="s">
        <v>1173</v>
      </c>
      <c r="B9" s="132"/>
      <c r="C9" s="132"/>
      <c r="D9" s="133" t="s">
        <v>1490</v>
      </c>
    </row>
    <row r="10" spans="1:4" ht="16" thickBot="1" x14ac:dyDescent="0.25">
      <c r="A10" s="140" t="s">
        <v>1491</v>
      </c>
      <c r="B10" s="141"/>
      <c r="C10" s="141"/>
      <c r="D10" s="138" t="s">
        <v>1492</v>
      </c>
    </row>
    <row r="11" spans="1:4" ht="57" thickBot="1" x14ac:dyDescent="0.25">
      <c r="A11" s="140" t="s">
        <v>1493</v>
      </c>
      <c r="B11" s="141"/>
      <c r="C11" s="141"/>
      <c r="D11" s="138" t="s">
        <v>1494</v>
      </c>
    </row>
    <row r="12" spans="1:4" ht="16" thickBot="1" x14ac:dyDescent="0.25">
      <c r="A12" s="142" t="s">
        <v>1495</v>
      </c>
      <c r="B12" s="132"/>
      <c r="C12" s="132"/>
      <c r="D12" s="133" t="s">
        <v>1496</v>
      </c>
    </row>
    <row r="13" spans="1:4" ht="29" thickBot="1" x14ac:dyDescent="0.25">
      <c r="A13" s="143" t="s">
        <v>1497</v>
      </c>
      <c r="B13" s="137"/>
      <c r="C13" s="137"/>
      <c r="D13" s="138" t="s">
        <v>1498</v>
      </c>
    </row>
    <row r="14" spans="1:4" ht="16" thickBot="1" x14ac:dyDescent="0.25">
      <c r="A14" s="143" t="s">
        <v>1499</v>
      </c>
      <c r="B14" s="137"/>
      <c r="C14" s="137"/>
      <c r="D14" s="138" t="s">
        <v>454</v>
      </c>
    </row>
    <row r="15" spans="1:4" ht="29" thickBot="1" x14ac:dyDescent="0.25">
      <c r="A15" s="143" t="s">
        <v>463</v>
      </c>
      <c r="B15" s="137"/>
      <c r="C15" s="137"/>
      <c r="D15" s="138" t="s">
        <v>1500</v>
      </c>
    </row>
    <row r="16" spans="1:4" ht="29" thickBot="1" x14ac:dyDescent="0.25">
      <c r="A16" s="143" t="s">
        <v>1501</v>
      </c>
      <c r="B16" s="137"/>
      <c r="C16" s="137"/>
      <c r="D16" s="138" t="s">
        <v>1502</v>
      </c>
    </row>
    <row r="17" spans="1:4" ht="16" thickBot="1" x14ac:dyDescent="0.25">
      <c r="A17" s="143" t="s">
        <v>1503</v>
      </c>
      <c r="B17" s="137"/>
      <c r="C17" s="137"/>
      <c r="D17" s="138" t="s">
        <v>466</v>
      </c>
    </row>
    <row r="18" spans="1:4" ht="16" thickBot="1" x14ac:dyDescent="0.25">
      <c r="A18" s="143" t="s">
        <v>1504</v>
      </c>
      <c r="B18" s="137"/>
      <c r="C18" s="137"/>
      <c r="D18" s="138" t="s">
        <v>474</v>
      </c>
    </row>
    <row r="19" spans="1:4" ht="16" thickBot="1" x14ac:dyDescent="0.25">
      <c r="A19" s="143" t="s">
        <v>1505</v>
      </c>
      <c r="B19" s="137"/>
      <c r="C19" s="137"/>
      <c r="D19" s="138" t="s">
        <v>488</v>
      </c>
    </row>
    <row r="20" spans="1:4" ht="16" thickBot="1" x14ac:dyDescent="0.25">
      <c r="A20" s="143" t="s">
        <v>529</v>
      </c>
      <c r="B20" s="137"/>
      <c r="C20" s="137"/>
      <c r="D20" s="138" t="s">
        <v>530</v>
      </c>
    </row>
    <row r="21" spans="1:4" ht="16" thickBot="1" x14ac:dyDescent="0.25">
      <c r="A21" s="143" t="s">
        <v>561</v>
      </c>
      <c r="B21" s="137"/>
      <c r="C21" s="137"/>
      <c r="D21" s="138" t="s">
        <v>562</v>
      </c>
    </row>
    <row r="22" spans="1:4" ht="16" thickBot="1" x14ac:dyDescent="0.25">
      <c r="A22" s="143" t="s">
        <v>1506</v>
      </c>
      <c r="B22" s="137"/>
      <c r="C22" s="137"/>
      <c r="D22" s="138" t="s">
        <v>1507</v>
      </c>
    </row>
    <row r="23" spans="1:4" ht="16" thickBot="1" x14ac:dyDescent="0.25">
      <c r="A23" s="143" t="s">
        <v>1508</v>
      </c>
      <c r="B23" s="137"/>
      <c r="C23" s="137"/>
      <c r="D23" s="138" t="s">
        <v>1509</v>
      </c>
    </row>
    <row r="24" spans="1:4" ht="16" thickBot="1" x14ac:dyDescent="0.25">
      <c r="A24" s="143" t="s">
        <v>505</v>
      </c>
      <c r="B24" s="137"/>
      <c r="C24" s="137"/>
      <c r="D24" s="138" t="s">
        <v>506</v>
      </c>
    </row>
    <row r="25" spans="1:4" ht="16" thickBot="1" x14ac:dyDescent="0.25">
      <c r="A25" s="143" t="s">
        <v>513</v>
      </c>
      <c r="B25" s="137"/>
      <c r="C25" s="137"/>
      <c r="D25" s="138" t="s">
        <v>514</v>
      </c>
    </row>
    <row r="26" spans="1:4" ht="16" thickBot="1" x14ac:dyDescent="0.25">
      <c r="A26" s="143" t="s">
        <v>521</v>
      </c>
      <c r="B26" s="137"/>
      <c r="C26" s="137"/>
      <c r="D26" s="138" t="s">
        <v>522</v>
      </c>
    </row>
    <row r="27" spans="1:4" ht="16" thickBot="1" x14ac:dyDescent="0.25">
      <c r="A27" s="143" t="s">
        <v>1510</v>
      </c>
      <c r="B27" s="137"/>
      <c r="C27" s="137"/>
      <c r="D27" s="138" t="s">
        <v>538</v>
      </c>
    </row>
    <row r="28" spans="1:4" ht="16" thickBot="1" x14ac:dyDescent="0.25">
      <c r="A28" s="143" t="s">
        <v>545</v>
      </c>
      <c r="B28" s="137"/>
      <c r="C28" s="137"/>
      <c r="D28" s="138" t="s">
        <v>546</v>
      </c>
    </row>
    <row r="29" spans="1:4" ht="16" thickBot="1" x14ac:dyDescent="0.25">
      <c r="A29" s="143" t="s">
        <v>553</v>
      </c>
      <c r="B29" s="137"/>
      <c r="C29" s="137"/>
      <c r="D29" s="138" t="s">
        <v>554</v>
      </c>
    </row>
    <row r="30" spans="1:4" ht="16" thickBot="1" x14ac:dyDescent="0.25">
      <c r="A30" s="140" t="s">
        <v>1511</v>
      </c>
      <c r="B30" s="137"/>
      <c r="C30" s="137"/>
      <c r="D30" s="138" t="s">
        <v>1512</v>
      </c>
    </row>
    <row r="31" spans="1:4" ht="16" thickBot="1" x14ac:dyDescent="0.25">
      <c r="A31" s="140" t="s">
        <v>1513</v>
      </c>
      <c r="B31" s="137"/>
      <c r="C31" s="137"/>
      <c r="D31" s="138" t="s">
        <v>1514</v>
      </c>
    </row>
    <row r="32" spans="1:4" ht="29" thickBot="1" x14ac:dyDescent="0.25">
      <c r="A32" s="140" t="s">
        <v>1515</v>
      </c>
      <c r="B32" s="137"/>
      <c r="C32" s="137"/>
      <c r="D32" s="138" t="s">
        <v>1516</v>
      </c>
    </row>
    <row r="33" spans="1:4" ht="29" thickBot="1" x14ac:dyDescent="0.25">
      <c r="A33" s="136" t="s">
        <v>1298</v>
      </c>
      <c r="B33" s="137"/>
      <c r="C33" s="137"/>
      <c r="D33" s="138" t="s">
        <v>1299</v>
      </c>
    </row>
    <row r="34" spans="1:4" ht="16" thickBot="1" x14ac:dyDescent="0.25">
      <c r="A34" s="135" t="s">
        <v>1300</v>
      </c>
      <c r="B34" s="132"/>
      <c r="C34" s="132"/>
      <c r="D34" s="133" t="s">
        <v>1301</v>
      </c>
    </row>
    <row r="35" spans="1:4" ht="29" thickBot="1" x14ac:dyDescent="0.25">
      <c r="A35" s="136" t="s">
        <v>1302</v>
      </c>
      <c r="B35" s="137"/>
      <c r="C35" s="137"/>
      <c r="D35" s="138" t="s">
        <v>1303</v>
      </c>
    </row>
    <row r="36" spans="1:4" ht="29" thickBot="1" x14ac:dyDescent="0.25">
      <c r="A36" s="136" t="s">
        <v>1304</v>
      </c>
      <c r="B36" s="137"/>
      <c r="C36" s="137"/>
      <c r="D36" s="138" t="s">
        <v>1305</v>
      </c>
    </row>
    <row r="37" spans="1:4" ht="29" thickBot="1" x14ac:dyDescent="0.25">
      <c r="A37" s="136" t="s">
        <v>1306</v>
      </c>
      <c r="B37" s="137"/>
      <c r="C37" s="137"/>
      <c r="D37" s="138" t="s">
        <v>1307</v>
      </c>
    </row>
    <row r="38" spans="1:4" ht="43" thickBot="1" x14ac:dyDescent="0.25">
      <c r="A38" s="136" t="s">
        <v>1308</v>
      </c>
      <c r="B38" s="137"/>
      <c r="C38" s="137"/>
      <c r="D38" s="138" t="s">
        <v>1309</v>
      </c>
    </row>
    <row r="39" spans="1:4" ht="29" thickBot="1" x14ac:dyDescent="0.25">
      <c r="A39" s="136" t="s">
        <v>1310</v>
      </c>
      <c r="B39" s="137"/>
      <c r="C39" s="137"/>
      <c r="D39" s="138" t="s">
        <v>1311</v>
      </c>
    </row>
    <row r="40" spans="1:4" ht="29" thickBot="1" x14ac:dyDescent="0.25">
      <c r="A40" s="136" t="s">
        <v>1312</v>
      </c>
      <c r="B40" s="137"/>
      <c r="C40" s="137"/>
      <c r="D40" s="138" t="s">
        <v>1313</v>
      </c>
    </row>
    <row r="41" spans="1:4" ht="29" thickBot="1" x14ac:dyDescent="0.25">
      <c r="A41" s="136" t="s">
        <v>1314</v>
      </c>
      <c r="B41" s="137"/>
      <c r="C41" s="137"/>
      <c r="D41" s="138" t="s">
        <v>1315</v>
      </c>
    </row>
    <row r="42" spans="1:4" ht="29" thickBot="1" x14ac:dyDescent="0.25">
      <c r="A42" s="136" t="s">
        <v>1316</v>
      </c>
      <c r="B42" s="137"/>
      <c r="C42" s="137"/>
      <c r="D42" s="138" t="s">
        <v>1317</v>
      </c>
    </row>
    <row r="43" spans="1:4" ht="16" thickBot="1" x14ac:dyDescent="0.25">
      <c r="A43" s="136" t="s">
        <v>1318</v>
      </c>
      <c r="B43" s="137"/>
      <c r="C43" s="137"/>
      <c r="D43" s="138" t="s">
        <v>1319</v>
      </c>
    </row>
    <row r="44" spans="1:4" ht="29" thickBot="1" x14ac:dyDescent="0.25">
      <c r="A44" s="136" t="s">
        <v>1320</v>
      </c>
      <c r="B44" s="137"/>
      <c r="C44" s="137"/>
      <c r="D44" s="138" t="s">
        <v>1321</v>
      </c>
    </row>
    <row r="45" spans="1:4" ht="29" thickBot="1" x14ac:dyDescent="0.25">
      <c r="A45" s="139" t="s">
        <v>1322</v>
      </c>
      <c r="B45" s="132"/>
      <c r="C45" s="132"/>
      <c r="D45" s="133" t="s">
        <v>1323</v>
      </c>
    </row>
    <row r="46" spans="1:4" ht="29" thickBot="1" x14ac:dyDescent="0.25">
      <c r="A46" s="140" t="s">
        <v>1324</v>
      </c>
      <c r="B46" s="137"/>
      <c r="C46" s="137"/>
      <c r="D46" s="138" t="s">
        <v>1325</v>
      </c>
    </row>
    <row r="47" spans="1:4" ht="29" thickBot="1" x14ac:dyDescent="0.25">
      <c r="A47" s="140" t="s">
        <v>1326</v>
      </c>
      <c r="B47" s="137"/>
      <c r="C47" s="137"/>
      <c r="D47" s="138" t="s">
        <v>1327</v>
      </c>
    </row>
    <row r="48" spans="1:4" ht="29" thickBot="1" x14ac:dyDescent="0.25">
      <c r="A48" s="140" t="s">
        <v>1328</v>
      </c>
      <c r="B48" s="137"/>
      <c r="C48" s="137"/>
      <c r="D48" s="138" t="s">
        <v>1329</v>
      </c>
    </row>
    <row r="49" spans="1:4" ht="29" thickBot="1" x14ac:dyDescent="0.25">
      <c r="A49" s="140" t="s">
        <v>1330</v>
      </c>
      <c r="B49" s="137"/>
      <c r="C49" s="137"/>
      <c r="D49" s="138" t="s">
        <v>1331</v>
      </c>
    </row>
    <row r="50" spans="1:4" ht="29" thickBot="1" x14ac:dyDescent="0.25">
      <c r="A50" s="140" t="s">
        <v>1332</v>
      </c>
      <c r="B50" s="137"/>
      <c r="C50" s="137"/>
      <c r="D50" s="138" t="s">
        <v>1333</v>
      </c>
    </row>
    <row r="51" spans="1:4" ht="29" thickBot="1" x14ac:dyDescent="0.25">
      <c r="A51" s="140" t="s">
        <v>1334</v>
      </c>
      <c r="B51" s="137"/>
      <c r="C51" s="137"/>
      <c r="D51" s="138" t="s">
        <v>1335</v>
      </c>
    </row>
    <row r="52" spans="1:4" ht="16" thickBot="1" x14ac:dyDescent="0.25">
      <c r="A52" s="140" t="s">
        <v>1336</v>
      </c>
      <c r="B52" s="137"/>
      <c r="C52" s="137"/>
      <c r="D52" s="138" t="s">
        <v>1337</v>
      </c>
    </row>
    <row r="53" spans="1:4" ht="16" thickBot="1" x14ac:dyDescent="0.25">
      <c r="A53" s="136" t="s">
        <v>1338</v>
      </c>
      <c r="B53" s="137"/>
      <c r="C53" s="137"/>
      <c r="D53" s="138" t="s">
        <v>1339</v>
      </c>
    </row>
    <row r="54" spans="1:4" ht="29" thickBot="1" x14ac:dyDescent="0.25">
      <c r="A54" s="136" t="s">
        <v>1340</v>
      </c>
      <c r="B54" s="137"/>
      <c r="C54" s="137"/>
      <c r="D54" s="138" t="s">
        <v>1341</v>
      </c>
    </row>
    <row r="55" spans="1:4" ht="29" thickBot="1" x14ac:dyDescent="0.25">
      <c r="A55" s="136" t="s">
        <v>1342</v>
      </c>
      <c r="B55" s="137"/>
      <c r="C55" s="137"/>
      <c r="D55" s="138" t="s">
        <v>1343</v>
      </c>
    </row>
    <row r="56" spans="1:4" ht="16" thickBot="1" x14ac:dyDescent="0.25">
      <c r="A56" s="136" t="s">
        <v>1344</v>
      </c>
      <c r="B56" s="137"/>
      <c r="C56" s="137"/>
      <c r="D56" s="138" t="s">
        <v>1345</v>
      </c>
    </row>
    <row r="57" spans="1:4" ht="16" thickBot="1" x14ac:dyDescent="0.25">
      <c r="A57" s="136" t="s">
        <v>1346</v>
      </c>
      <c r="B57" s="137"/>
      <c r="C57" s="137"/>
      <c r="D57" s="138" t="s">
        <v>1347</v>
      </c>
    </row>
    <row r="58" spans="1:4" ht="29" thickBot="1" x14ac:dyDescent="0.25">
      <c r="A58" s="135" t="s">
        <v>1348</v>
      </c>
      <c r="B58" s="132"/>
      <c r="C58" s="132"/>
      <c r="D58" s="133" t="s">
        <v>1349</v>
      </c>
    </row>
    <row r="59" spans="1:4" ht="29" thickBot="1" x14ac:dyDescent="0.25">
      <c r="A59" s="136" t="s">
        <v>1350</v>
      </c>
      <c r="B59" s="137"/>
      <c r="C59" s="137"/>
      <c r="D59" s="138" t="s">
        <v>1351</v>
      </c>
    </row>
    <row r="60" spans="1:4" ht="29" thickBot="1" x14ac:dyDescent="0.25">
      <c r="A60" s="136" t="s">
        <v>1352</v>
      </c>
      <c r="B60" s="137"/>
      <c r="C60" s="137"/>
      <c r="D60" s="138" t="s">
        <v>1353</v>
      </c>
    </row>
    <row r="61" spans="1:4" ht="29" thickBot="1" x14ac:dyDescent="0.25">
      <c r="A61" s="136" t="s">
        <v>1354</v>
      </c>
      <c r="B61" s="137"/>
      <c r="C61" s="137"/>
      <c r="D61" s="138" t="s">
        <v>1355</v>
      </c>
    </row>
    <row r="62" spans="1:4" ht="29" thickBot="1" x14ac:dyDescent="0.25">
      <c r="A62" s="136" t="s">
        <v>1356</v>
      </c>
      <c r="B62" s="137"/>
      <c r="C62" s="137"/>
      <c r="D62" s="138" t="s">
        <v>1357</v>
      </c>
    </row>
    <row r="63" spans="1:4" ht="29" thickBot="1" x14ac:dyDescent="0.25">
      <c r="A63" s="136" t="s">
        <v>1358</v>
      </c>
      <c r="B63" s="137"/>
      <c r="C63" s="137"/>
      <c r="D63" s="138" t="s">
        <v>1359</v>
      </c>
    </row>
    <row r="64" spans="1:4" ht="29" thickBot="1" x14ac:dyDescent="0.25">
      <c r="A64" s="136" t="s">
        <v>1360</v>
      </c>
      <c r="B64" s="137"/>
      <c r="C64" s="137"/>
      <c r="D64" s="138" t="s">
        <v>1361</v>
      </c>
    </row>
    <row r="65" spans="1:4" ht="29" thickBot="1" x14ac:dyDescent="0.25">
      <c r="A65" s="136" t="s">
        <v>1362</v>
      </c>
      <c r="B65" s="137"/>
      <c r="C65" s="137"/>
      <c r="D65" s="138" t="s">
        <v>1363</v>
      </c>
    </row>
    <row r="66" spans="1:4" ht="29" thickBot="1" x14ac:dyDescent="0.25">
      <c r="A66" s="136" t="s">
        <v>1364</v>
      </c>
      <c r="B66" s="137"/>
      <c r="C66" s="137"/>
      <c r="D66" s="138" t="s">
        <v>1365</v>
      </c>
    </row>
    <row r="67" spans="1:4" ht="29" thickBot="1" x14ac:dyDescent="0.25">
      <c r="A67" s="136" t="s">
        <v>1366</v>
      </c>
      <c r="B67" s="137"/>
      <c r="C67" s="137"/>
      <c r="D67" s="138" t="s">
        <v>1367</v>
      </c>
    </row>
    <row r="68" spans="1:4" ht="29" thickBot="1" x14ac:dyDescent="0.25">
      <c r="A68" s="136" t="s">
        <v>1368</v>
      </c>
      <c r="B68" s="137"/>
      <c r="C68" s="137"/>
      <c r="D68" s="138" t="s">
        <v>1369</v>
      </c>
    </row>
    <row r="69" spans="1:4" ht="29" thickBot="1" x14ac:dyDescent="0.25">
      <c r="A69" s="136" t="s">
        <v>1370</v>
      </c>
      <c r="B69" s="137"/>
      <c r="C69" s="137"/>
      <c r="D69" s="138" t="s">
        <v>1371</v>
      </c>
    </row>
    <row r="70" spans="1:4" ht="43" thickBot="1" x14ac:dyDescent="0.25">
      <c r="A70" s="136" t="s">
        <v>925</v>
      </c>
      <c r="B70" s="137"/>
      <c r="C70" s="137"/>
      <c r="D70" s="138" t="s">
        <v>1372</v>
      </c>
    </row>
    <row r="71" spans="1:4" ht="29" thickBot="1" x14ac:dyDescent="0.25">
      <c r="A71" s="136" t="s">
        <v>1373</v>
      </c>
      <c r="B71" s="137"/>
      <c r="C71" s="137"/>
      <c r="D71" s="138" t="s">
        <v>1374</v>
      </c>
    </row>
    <row r="72" spans="1:4" ht="29" thickBot="1" x14ac:dyDescent="0.25">
      <c r="A72" s="136" t="s">
        <v>1375</v>
      </c>
      <c r="B72" s="137"/>
      <c r="C72" s="137"/>
      <c r="D72" s="138" t="s">
        <v>1376</v>
      </c>
    </row>
    <row r="73" spans="1:4" ht="29" thickBot="1" x14ac:dyDescent="0.25">
      <c r="A73" s="136" t="s">
        <v>1377</v>
      </c>
      <c r="B73" s="137"/>
      <c r="C73" s="137"/>
      <c r="D73" s="138" t="s">
        <v>1378</v>
      </c>
    </row>
    <row r="74" spans="1:4" ht="43" thickBot="1" x14ac:dyDescent="0.25">
      <c r="A74" s="135" t="s">
        <v>1379</v>
      </c>
      <c r="B74" s="144"/>
      <c r="C74" s="144"/>
      <c r="D74" s="133" t="s">
        <v>1380</v>
      </c>
    </row>
    <row r="75" spans="1:4" ht="16" thickBot="1" x14ac:dyDescent="0.25">
      <c r="A75" s="134" t="s">
        <v>1381</v>
      </c>
      <c r="B75" s="132"/>
      <c r="C75" s="132"/>
      <c r="D75" s="133" t="s">
        <v>1382</v>
      </c>
    </row>
    <row r="76" spans="1:4" ht="29" thickBot="1" x14ac:dyDescent="0.25">
      <c r="A76" s="145" t="s">
        <v>1385</v>
      </c>
      <c r="B76" s="137"/>
      <c r="C76" s="137"/>
      <c r="D76" s="138" t="s">
        <v>1386</v>
      </c>
    </row>
    <row r="77" spans="1:4" ht="29" thickBot="1" x14ac:dyDescent="0.25">
      <c r="A77" s="145" t="s">
        <v>1387</v>
      </c>
      <c r="B77" s="137"/>
      <c r="C77" s="137"/>
      <c r="D77" s="138" t="s">
        <v>1388</v>
      </c>
    </row>
    <row r="78" spans="1:4" ht="29" thickBot="1" x14ac:dyDescent="0.25">
      <c r="A78" s="145" t="s">
        <v>1389</v>
      </c>
      <c r="B78" s="137"/>
      <c r="C78" s="137"/>
      <c r="D78" s="138" t="s">
        <v>1390</v>
      </c>
    </row>
    <row r="79" spans="1:4" ht="29" thickBot="1" x14ac:dyDescent="0.25">
      <c r="A79" s="145" t="s">
        <v>1391</v>
      </c>
      <c r="B79" s="137"/>
      <c r="C79" s="137"/>
      <c r="D79" s="138" t="s">
        <v>1392</v>
      </c>
    </row>
    <row r="80" spans="1:4" ht="29" thickBot="1" x14ac:dyDescent="0.25">
      <c r="A80" s="145" t="s">
        <v>1393</v>
      </c>
      <c r="B80" s="137"/>
      <c r="C80" s="137"/>
      <c r="D80" s="138" t="s">
        <v>1394</v>
      </c>
    </row>
    <row r="81" spans="1:4" ht="43" thickBot="1" x14ac:dyDescent="0.25">
      <c r="A81" s="145" t="s">
        <v>1395</v>
      </c>
      <c r="B81" s="137"/>
      <c r="C81" s="137"/>
      <c r="D81" s="138" t="s">
        <v>1396</v>
      </c>
    </row>
    <row r="82" spans="1:4" ht="29" thickBot="1" x14ac:dyDescent="0.25">
      <c r="A82" s="145" t="s">
        <v>1397</v>
      </c>
      <c r="B82" s="141"/>
      <c r="C82" s="141"/>
      <c r="D82" s="138" t="s">
        <v>1398</v>
      </c>
    </row>
    <row r="83" spans="1:4" ht="29" thickBot="1" x14ac:dyDescent="0.25">
      <c r="A83" s="145" t="s">
        <v>1399</v>
      </c>
      <c r="B83" s="137"/>
      <c r="C83" s="137"/>
      <c r="D83" s="138" t="s">
        <v>1400</v>
      </c>
    </row>
    <row r="84" spans="1:4" ht="29" thickBot="1" x14ac:dyDescent="0.25">
      <c r="A84" s="145" t="s">
        <v>1401</v>
      </c>
      <c r="B84" s="137"/>
      <c r="C84" s="137"/>
      <c r="D84" s="138" t="s">
        <v>1402</v>
      </c>
    </row>
    <row r="85" spans="1:4" ht="29" thickBot="1" x14ac:dyDescent="0.25">
      <c r="A85" s="145" t="s">
        <v>1403</v>
      </c>
      <c r="B85" s="141"/>
      <c r="C85" s="141"/>
      <c r="D85" s="138" t="s">
        <v>1404</v>
      </c>
    </row>
    <row r="86" spans="1:4" ht="29" thickBot="1" x14ac:dyDescent="0.25">
      <c r="A86" s="145" t="s">
        <v>1405</v>
      </c>
      <c r="B86" s="137"/>
      <c r="C86" s="137"/>
      <c r="D86" s="138" t="s">
        <v>1406</v>
      </c>
    </row>
    <row r="87" spans="1:4" ht="43" thickBot="1" x14ac:dyDescent="0.25">
      <c r="A87" s="145" t="s">
        <v>1407</v>
      </c>
      <c r="B87" s="141"/>
      <c r="C87" s="141"/>
      <c r="D87" s="138" t="s">
        <v>1408</v>
      </c>
    </row>
    <row r="88" spans="1:4" ht="29" thickBot="1" x14ac:dyDescent="0.25">
      <c r="A88" s="145" t="s">
        <v>1415</v>
      </c>
      <c r="B88" s="137"/>
      <c r="C88" s="137"/>
      <c r="D88" s="138" t="s">
        <v>1416</v>
      </c>
    </row>
    <row r="89" spans="1:4" ht="29" thickBot="1" x14ac:dyDescent="0.25">
      <c r="A89" s="145" t="s">
        <v>1409</v>
      </c>
      <c r="B89" s="137"/>
      <c r="C89" s="137"/>
      <c r="D89" s="138" t="s">
        <v>1410</v>
      </c>
    </row>
    <row r="90" spans="1:4" ht="57" thickBot="1" x14ac:dyDescent="0.25">
      <c r="A90" s="145" t="s">
        <v>1411</v>
      </c>
      <c r="B90" s="137"/>
      <c r="C90" s="137"/>
      <c r="D90" s="138" t="s">
        <v>1412</v>
      </c>
    </row>
    <row r="91" spans="1:4" ht="29" thickBot="1" x14ac:dyDescent="0.25">
      <c r="A91" s="145" t="s">
        <v>1417</v>
      </c>
      <c r="B91" s="137"/>
      <c r="C91" s="137"/>
      <c r="D91" s="138" t="s">
        <v>1418</v>
      </c>
    </row>
    <row r="92" spans="1:4" ht="29" thickBot="1" x14ac:dyDescent="0.25">
      <c r="A92" s="145" t="s">
        <v>1413</v>
      </c>
      <c r="B92" s="141"/>
      <c r="C92" s="141"/>
      <c r="D92" s="138" t="s">
        <v>1414</v>
      </c>
    </row>
    <row r="93" spans="1:4" ht="43" thickBot="1" x14ac:dyDescent="0.25">
      <c r="A93" s="135" t="s">
        <v>1419</v>
      </c>
      <c r="B93" s="144"/>
      <c r="C93" s="144"/>
      <c r="D93" s="133" t="s">
        <v>1420</v>
      </c>
    </row>
    <row r="94" spans="1:4" ht="16" thickBot="1" x14ac:dyDescent="0.25">
      <c r="A94" s="134" t="s">
        <v>1421</v>
      </c>
      <c r="B94" s="132"/>
      <c r="C94" s="132"/>
      <c r="D94" s="133" t="s">
        <v>1422</v>
      </c>
    </row>
    <row r="95" spans="1:4" ht="29" thickBot="1" x14ac:dyDescent="0.25">
      <c r="A95" s="145" t="s">
        <v>1423</v>
      </c>
      <c r="B95" s="137"/>
      <c r="C95" s="137"/>
      <c r="D95" s="138" t="s">
        <v>1424</v>
      </c>
    </row>
    <row r="96" spans="1:4" ht="16" thickBot="1" x14ac:dyDescent="0.25">
      <c r="A96" s="145" t="s">
        <v>1425</v>
      </c>
      <c r="B96" s="137"/>
      <c r="C96" s="137"/>
      <c r="D96" s="138" t="s">
        <v>1426</v>
      </c>
    </row>
    <row r="97" spans="1:4" ht="29" thickBot="1" x14ac:dyDescent="0.25">
      <c r="A97" s="145" t="s">
        <v>1427</v>
      </c>
      <c r="B97" s="141"/>
      <c r="C97" s="141"/>
      <c r="D97" s="138" t="s">
        <v>1428</v>
      </c>
    </row>
    <row r="98" spans="1:4" ht="16" thickBot="1" x14ac:dyDescent="0.25">
      <c r="A98" s="145" t="s">
        <v>1429</v>
      </c>
      <c r="B98" s="141"/>
      <c r="C98" s="141"/>
      <c r="D98" s="138" t="s">
        <v>1430</v>
      </c>
    </row>
    <row r="99" spans="1:4" ht="16" thickBot="1" x14ac:dyDescent="0.25">
      <c r="A99" s="145" t="s">
        <v>1431</v>
      </c>
      <c r="B99" s="137"/>
      <c r="C99" s="137"/>
      <c r="D99" s="138" t="s">
        <v>1432</v>
      </c>
    </row>
    <row r="100" spans="1:4" ht="16" thickBot="1" x14ac:dyDescent="0.25">
      <c r="A100" s="145" t="s">
        <v>1433</v>
      </c>
      <c r="B100" s="141"/>
      <c r="C100" s="141"/>
      <c r="D100" s="138" t="s">
        <v>1434</v>
      </c>
    </row>
    <row r="101" spans="1:4" ht="16" thickBot="1" x14ac:dyDescent="0.25">
      <c r="A101" s="145" t="s">
        <v>1435</v>
      </c>
      <c r="B101" s="137"/>
      <c r="C101" s="137"/>
      <c r="D101" s="138" t="s">
        <v>1436</v>
      </c>
    </row>
    <row r="102" spans="1:4" ht="16" thickBot="1" x14ac:dyDescent="0.25">
      <c r="A102" s="145" t="s">
        <v>1437</v>
      </c>
      <c r="B102" s="141"/>
      <c r="C102" s="141"/>
      <c r="D102" s="138" t="s">
        <v>1438</v>
      </c>
    </row>
    <row r="103" spans="1:4" ht="16" thickBot="1" x14ac:dyDescent="0.25">
      <c r="A103" s="145" t="s">
        <v>1439</v>
      </c>
      <c r="B103" s="141"/>
      <c r="C103" s="141"/>
      <c r="D103" s="138" t="s">
        <v>1440</v>
      </c>
    </row>
    <row r="104" spans="1:4" ht="16" thickBot="1" x14ac:dyDescent="0.25">
      <c r="A104" s="145" t="s">
        <v>1441</v>
      </c>
      <c r="B104" s="137"/>
      <c r="C104" s="137"/>
      <c r="D104" s="138" t="s">
        <v>1442</v>
      </c>
    </row>
    <row r="105" spans="1:4" ht="16" thickBot="1" x14ac:dyDescent="0.25">
      <c r="A105" s="145" t="s">
        <v>1443</v>
      </c>
      <c r="B105" s="141"/>
      <c r="C105" s="141"/>
      <c r="D105" s="138" t="s">
        <v>1444</v>
      </c>
    </row>
    <row r="106" spans="1:4" ht="29" thickBot="1" x14ac:dyDescent="0.25">
      <c r="A106" s="145" t="s">
        <v>1445</v>
      </c>
      <c r="B106" s="141"/>
      <c r="C106" s="141"/>
      <c r="D106" s="138" t="s">
        <v>1446</v>
      </c>
    </row>
    <row r="107" spans="1:4" ht="16" thickBot="1" x14ac:dyDescent="0.25">
      <c r="A107" s="145" t="s">
        <v>1447</v>
      </c>
      <c r="B107" s="137"/>
      <c r="C107" s="137"/>
      <c r="D107" s="138" t="s">
        <v>1448</v>
      </c>
    </row>
    <row r="108" spans="1:4" ht="16" thickBot="1" x14ac:dyDescent="0.25">
      <c r="A108" s="145" t="s">
        <v>1449</v>
      </c>
      <c r="B108" s="141"/>
      <c r="C108" s="141"/>
      <c r="D108" s="138" t="s">
        <v>1450</v>
      </c>
    </row>
    <row r="109" spans="1:4" ht="29" thickBot="1" x14ac:dyDescent="0.25">
      <c r="A109" s="145" t="s">
        <v>1451</v>
      </c>
      <c r="B109" s="141"/>
      <c r="C109" s="141"/>
      <c r="D109" s="138" t="s">
        <v>1452</v>
      </c>
    </row>
    <row r="110" spans="1:4" ht="29" thickBot="1" x14ac:dyDescent="0.25">
      <c r="A110" s="145" t="s">
        <v>1453</v>
      </c>
      <c r="B110" s="137"/>
      <c r="C110" s="137"/>
      <c r="D110" s="138" t="s">
        <v>1454</v>
      </c>
    </row>
    <row r="111" spans="1:4" ht="29" thickBot="1" x14ac:dyDescent="0.25">
      <c r="A111" s="145" t="s">
        <v>1455</v>
      </c>
      <c r="B111" s="141"/>
      <c r="C111" s="141"/>
      <c r="D111" s="138" t="s">
        <v>1456</v>
      </c>
    </row>
    <row r="112" spans="1:4" ht="29" thickBot="1" x14ac:dyDescent="0.25">
      <c r="A112" s="145" t="s">
        <v>1457</v>
      </c>
      <c r="B112" s="137"/>
      <c r="C112" s="137"/>
      <c r="D112" s="138" t="s">
        <v>1458</v>
      </c>
    </row>
    <row r="113" spans="1:4" ht="16" thickBot="1" x14ac:dyDescent="0.25">
      <c r="A113" s="145" t="s">
        <v>1459</v>
      </c>
      <c r="B113" s="141"/>
      <c r="C113" s="141"/>
      <c r="D113" s="138" t="s">
        <v>1460</v>
      </c>
    </row>
    <row r="114" spans="1:4" ht="16" thickBot="1" x14ac:dyDescent="0.25">
      <c r="A114" s="145" t="s">
        <v>1461</v>
      </c>
      <c r="B114" s="137"/>
      <c r="C114" s="137"/>
      <c r="D114" s="138" t="s">
        <v>1462</v>
      </c>
    </row>
    <row r="115" spans="1:4" ht="29" thickBot="1" x14ac:dyDescent="0.25">
      <c r="A115" s="145" t="s">
        <v>1463</v>
      </c>
      <c r="B115" s="137"/>
      <c r="C115" s="137"/>
      <c r="D115" s="138" t="s">
        <v>1464</v>
      </c>
    </row>
    <row r="116" spans="1:4" ht="29" thickBot="1" x14ac:dyDescent="0.25">
      <c r="A116" s="145" t="s">
        <v>1465</v>
      </c>
      <c r="B116" s="137"/>
      <c r="C116" s="137"/>
      <c r="D116" s="138" t="s">
        <v>1466</v>
      </c>
    </row>
    <row r="117" spans="1:4" ht="29" thickBot="1" x14ac:dyDescent="0.25">
      <c r="A117" s="145" t="s">
        <v>1467</v>
      </c>
      <c r="B117" s="137"/>
      <c r="C117" s="137"/>
      <c r="D117" s="138" t="s">
        <v>1468</v>
      </c>
    </row>
    <row r="118" spans="1:4" ht="29" thickBot="1" x14ac:dyDescent="0.25">
      <c r="A118" s="145" t="s">
        <v>1469</v>
      </c>
      <c r="B118" s="137"/>
      <c r="C118" s="137"/>
      <c r="D118" s="138" t="s">
        <v>1470</v>
      </c>
    </row>
    <row r="119" spans="1:4" ht="29" thickBot="1" x14ac:dyDescent="0.25">
      <c r="A119" s="145" t="s">
        <v>1471</v>
      </c>
      <c r="B119" s="141"/>
      <c r="C119" s="141"/>
      <c r="D119" s="138" t="s">
        <v>1472</v>
      </c>
    </row>
    <row r="120" spans="1:4" ht="29" thickBot="1" x14ac:dyDescent="0.25">
      <c r="A120" s="145" t="s">
        <v>1473</v>
      </c>
      <c r="B120" s="137"/>
      <c r="C120" s="137"/>
      <c r="D120" s="138" t="s">
        <v>1474</v>
      </c>
    </row>
    <row r="121" spans="1:4" ht="43" thickBot="1" x14ac:dyDescent="0.25">
      <c r="A121" s="135" t="s">
        <v>1475</v>
      </c>
      <c r="B121" s="144"/>
      <c r="C121" s="144"/>
      <c r="D121" s="133" t="s">
        <v>1476</v>
      </c>
    </row>
    <row r="122" spans="1:4" ht="29" thickBot="1" x14ac:dyDescent="0.25">
      <c r="A122" s="134" t="s">
        <v>1477</v>
      </c>
      <c r="B122" s="144"/>
      <c r="C122" s="144"/>
      <c r="D122" s="133" t="s">
        <v>1478</v>
      </c>
    </row>
    <row r="123" spans="1:4" ht="29" thickBot="1" x14ac:dyDescent="0.25">
      <c r="A123" s="146" t="s">
        <v>1479</v>
      </c>
      <c r="B123" s="137"/>
      <c r="C123" s="137"/>
      <c r="D123" s="138" t="s">
        <v>1480</v>
      </c>
    </row>
    <row r="124" spans="1:4" ht="29" thickBot="1" x14ac:dyDescent="0.25">
      <c r="A124" s="146" t="s">
        <v>1481</v>
      </c>
      <c r="B124" s="137"/>
      <c r="C124" s="137"/>
      <c r="D124" s="138" t="s">
        <v>1482</v>
      </c>
    </row>
    <row r="125" spans="1:4" ht="29" thickBot="1" x14ac:dyDescent="0.25">
      <c r="A125" s="146" t="s">
        <v>1483</v>
      </c>
      <c r="B125" s="137"/>
      <c r="C125" s="137"/>
      <c r="D125" s="138" t="s">
        <v>1484</v>
      </c>
    </row>
    <row r="126" spans="1:4" ht="29" thickBot="1" x14ac:dyDescent="0.25">
      <c r="A126" s="146" t="s">
        <v>1485</v>
      </c>
      <c r="B126" s="137"/>
      <c r="C126" s="137"/>
      <c r="D126" s="138" t="s">
        <v>1486</v>
      </c>
    </row>
    <row r="127" spans="1:4" ht="29" thickBot="1" x14ac:dyDescent="0.25">
      <c r="A127" s="134" t="s">
        <v>1487</v>
      </c>
      <c r="B127" s="144"/>
      <c r="C127" s="144"/>
      <c r="D127" s="133"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baseColWidth="10" defaultColWidth="9.3984375" defaultRowHeight="15" x14ac:dyDescent="0.2"/>
  <cols>
    <col min="1" max="1" width="42.59765625" style="147" bestFit="1" customWidth="1" collapsed="1"/>
    <col min="2" max="2" width="33.3984375" style="147" customWidth="1" collapsed="1"/>
    <col min="3" max="3" width="42.59765625" style="147" bestFit="1" customWidth="1" collapsed="1"/>
    <col min="4" max="16384" width="9.3984375" style="147" collapsed="1"/>
  </cols>
  <sheetData>
    <row r="1" spans="1:3" ht="34.5" customHeight="1" x14ac:dyDescent="0.2">
      <c r="A1" s="568" t="s">
        <v>1517</v>
      </c>
      <c r="B1" s="569"/>
      <c r="C1" s="569"/>
    </row>
    <row r="3" spans="1:3" ht="38" x14ac:dyDescent="0.2">
      <c r="A3" s="148" t="s">
        <v>1518</v>
      </c>
      <c r="B3" s="570" t="s">
        <v>1519</v>
      </c>
      <c r="C3" s="570"/>
    </row>
    <row r="4" spans="1:3" x14ac:dyDescent="0.2">
      <c r="A4" s="149"/>
      <c r="B4" s="150" t="s">
        <v>102</v>
      </c>
    </row>
    <row r="5" spans="1:3" ht="16" thickBot="1" x14ac:dyDescent="0.25">
      <c r="A5" s="151" t="s">
        <v>1518</v>
      </c>
      <c r="B5" s="152"/>
      <c r="C5" s="153" t="s">
        <v>1519</v>
      </c>
    </row>
    <row r="6" spans="1:3" ht="75" customHeight="1" thickBot="1" x14ac:dyDescent="0.25">
      <c r="A6" s="154" t="s">
        <v>1520</v>
      </c>
      <c r="B6" s="155" t="s">
        <v>2177</v>
      </c>
      <c r="C6" s="156" t="s">
        <v>1521</v>
      </c>
    </row>
    <row r="7" spans="1:3" ht="75" customHeight="1" thickBot="1" x14ac:dyDescent="0.25">
      <c r="A7" s="154" t="s">
        <v>1522</v>
      </c>
      <c r="B7" s="155" t="s">
        <v>2169</v>
      </c>
      <c r="C7" s="156" t="s">
        <v>1523</v>
      </c>
    </row>
    <row r="8" spans="1:3" ht="75" customHeight="1" thickBot="1" x14ac:dyDescent="0.25">
      <c r="A8" s="154" t="s">
        <v>1524</v>
      </c>
      <c r="B8" s="155"/>
      <c r="C8" s="156" t="s">
        <v>1525</v>
      </c>
    </row>
    <row r="9" spans="1:3" ht="75" customHeight="1" thickBot="1" x14ac:dyDescent="0.25">
      <c r="A9" s="154" t="s">
        <v>632</v>
      </c>
      <c r="B9" s="155" t="s">
        <v>2164</v>
      </c>
      <c r="C9" s="156" t="s">
        <v>1526</v>
      </c>
    </row>
    <row r="10" spans="1:3" ht="75" customHeight="1" thickBot="1" x14ac:dyDescent="0.25">
      <c r="A10" s="154" t="s">
        <v>1527</v>
      </c>
      <c r="B10" s="155" t="s">
        <v>2157</v>
      </c>
      <c r="C10" s="156" t="s">
        <v>1528</v>
      </c>
    </row>
    <row r="11" spans="1:3" ht="75" customHeight="1" thickBot="1" x14ac:dyDescent="0.25">
      <c r="A11" s="154" t="s">
        <v>1529</v>
      </c>
      <c r="B11" s="155"/>
      <c r="C11" s="156" t="s">
        <v>1530</v>
      </c>
    </row>
    <row r="12" spans="1:3" ht="75" customHeight="1" thickBot="1" x14ac:dyDescent="0.25">
      <c r="A12" s="154" t="s">
        <v>1531</v>
      </c>
      <c r="B12" s="155"/>
      <c r="C12" s="156" t="s">
        <v>1532</v>
      </c>
    </row>
    <row r="13" spans="1:3" ht="75" customHeight="1" thickBot="1" x14ac:dyDescent="0.25">
      <c r="A13" s="154" t="s">
        <v>1533</v>
      </c>
      <c r="B13" s="155" t="s">
        <v>2150</v>
      </c>
      <c r="C13" s="156" t="s">
        <v>1534</v>
      </c>
    </row>
    <row r="14" spans="1:3" ht="75" customHeight="1" thickBot="1" x14ac:dyDescent="0.25">
      <c r="A14" s="154" t="s">
        <v>1535</v>
      </c>
      <c r="B14" s="155" t="s">
        <v>2171</v>
      </c>
      <c r="C14" s="156" t="s">
        <v>1536</v>
      </c>
    </row>
    <row r="15" spans="1:3" ht="75" customHeight="1" thickBot="1" x14ac:dyDescent="0.25">
      <c r="A15" s="154" t="s">
        <v>1537</v>
      </c>
      <c r="B15" s="155" t="s">
        <v>2149</v>
      </c>
      <c r="C15" s="156" t="s">
        <v>1538</v>
      </c>
    </row>
    <row r="16" spans="1:3" ht="75" customHeight="1" thickBot="1" x14ac:dyDescent="0.25">
      <c r="A16" s="154" t="s">
        <v>1505</v>
      </c>
      <c r="B16" s="155"/>
      <c r="C16" s="156" t="s">
        <v>729</v>
      </c>
    </row>
    <row r="17" spans="1:3" ht="75" customHeight="1" thickBot="1" x14ac:dyDescent="0.25">
      <c r="A17" s="154" t="s">
        <v>751</v>
      </c>
      <c r="B17" s="155" t="s">
        <v>2147</v>
      </c>
      <c r="C17" s="156" t="s">
        <v>752</v>
      </c>
    </row>
    <row r="18" spans="1:3" ht="75" customHeight="1" thickBot="1" x14ac:dyDescent="0.25">
      <c r="A18" s="154" t="s">
        <v>1539</v>
      </c>
      <c r="B18" s="155" t="s">
        <v>2168</v>
      </c>
      <c r="C18" s="156" t="s">
        <v>1540</v>
      </c>
    </row>
    <row r="19" spans="1:3" ht="75" customHeight="1" thickBot="1" x14ac:dyDescent="0.25">
      <c r="A19" s="154" t="s">
        <v>1541</v>
      </c>
      <c r="B19" s="155" t="s">
        <v>2156</v>
      </c>
      <c r="C19" s="156" t="s">
        <v>1542</v>
      </c>
    </row>
    <row r="20" spans="1:3" ht="75" customHeight="1" thickBot="1" x14ac:dyDescent="0.25">
      <c r="A20" s="154" t="s">
        <v>1543</v>
      </c>
      <c r="B20" s="155"/>
      <c r="C20" s="156" t="s">
        <v>1544</v>
      </c>
    </row>
    <row r="21" spans="1:3" ht="75" customHeight="1" thickBot="1" x14ac:dyDescent="0.25">
      <c r="A21" s="154" t="s">
        <v>1545</v>
      </c>
      <c r="B21" s="155" t="s">
        <v>2173</v>
      </c>
      <c r="C21" s="156" t="s">
        <v>1546</v>
      </c>
    </row>
    <row r="22" spans="1:3" ht="75" customHeight="1" thickBot="1" x14ac:dyDescent="0.25">
      <c r="A22" s="154" t="s">
        <v>1547</v>
      </c>
      <c r="B22" s="155" t="s">
        <v>2174</v>
      </c>
      <c r="C22" s="156" t="s">
        <v>1548</v>
      </c>
    </row>
    <row r="23" spans="1:3" ht="75" customHeight="1" thickBot="1" x14ac:dyDescent="0.25">
      <c r="A23" s="154" t="s">
        <v>1549</v>
      </c>
      <c r="B23" s="155" t="s">
        <v>2176</v>
      </c>
      <c r="C23" s="156" t="s">
        <v>1550</v>
      </c>
    </row>
    <row r="24" spans="1:3" ht="75" customHeight="1" thickBot="1" x14ac:dyDescent="0.25">
      <c r="A24" s="154" t="s">
        <v>1551</v>
      </c>
      <c r="B24" s="155"/>
      <c r="C24" s="156" t="s">
        <v>1552</v>
      </c>
    </row>
    <row r="25" spans="1:3" ht="75" customHeight="1" thickBot="1" x14ac:dyDescent="0.25">
      <c r="A25" s="154" t="s">
        <v>1553</v>
      </c>
      <c r="B25" s="155" t="s">
        <v>2181</v>
      </c>
      <c r="C25" s="156" t="s">
        <v>1554</v>
      </c>
    </row>
    <row r="26" spans="1:3" ht="75" customHeight="1" thickBot="1" x14ac:dyDescent="0.25">
      <c r="A26" s="154" t="s">
        <v>1555</v>
      </c>
      <c r="B26" s="155"/>
      <c r="C26" s="156" t="s">
        <v>1556</v>
      </c>
    </row>
    <row r="27" spans="1:3" ht="75" customHeight="1" thickBot="1" x14ac:dyDescent="0.25">
      <c r="A27" s="154" t="s">
        <v>1557</v>
      </c>
      <c r="B27" s="155" t="s">
        <v>2151</v>
      </c>
      <c r="C27" s="156" t="s">
        <v>1558</v>
      </c>
    </row>
    <row r="28" spans="1:3" ht="75" customHeight="1" thickBot="1" x14ac:dyDescent="0.25">
      <c r="A28" s="154" t="s">
        <v>433</v>
      </c>
      <c r="B28" s="155" t="s">
        <v>2159</v>
      </c>
      <c r="C28" s="156" t="s">
        <v>434</v>
      </c>
    </row>
    <row r="29" spans="1:3" ht="75" customHeight="1" thickBot="1" x14ac:dyDescent="0.25">
      <c r="A29" s="154" t="s">
        <v>1499</v>
      </c>
      <c r="B29" s="155" t="s">
        <v>2161</v>
      </c>
      <c r="C29" s="156" t="s">
        <v>1559</v>
      </c>
    </row>
    <row r="30" spans="1:3" ht="75" customHeight="1" thickBot="1" x14ac:dyDescent="0.25">
      <c r="A30" s="154" t="s">
        <v>1560</v>
      </c>
      <c r="B30" s="155"/>
      <c r="C30" s="156" t="s">
        <v>1561</v>
      </c>
    </row>
    <row r="31" spans="1:3" ht="75" customHeight="1" thickBot="1" x14ac:dyDescent="0.25">
      <c r="A31" s="154" t="s">
        <v>634</v>
      </c>
      <c r="B31" s="155" t="s">
        <v>2148</v>
      </c>
      <c r="C31" s="156" t="s">
        <v>635</v>
      </c>
    </row>
    <row r="32" spans="1:3" ht="75" customHeight="1" thickBot="1" x14ac:dyDescent="0.25">
      <c r="A32" s="154" t="s">
        <v>628</v>
      </c>
      <c r="B32" s="155"/>
      <c r="C32" s="156" t="s">
        <v>629</v>
      </c>
    </row>
    <row r="33" spans="1:3" ht="75" customHeight="1" thickBot="1" x14ac:dyDescent="0.25">
      <c r="A33" s="154" t="s">
        <v>625</v>
      </c>
      <c r="B33" s="155" t="s">
        <v>2167</v>
      </c>
      <c r="C33" s="156" t="s">
        <v>625</v>
      </c>
    </row>
    <row r="34" spans="1:3" ht="75" customHeight="1" thickBot="1" x14ac:dyDescent="0.25">
      <c r="A34" s="154" t="s">
        <v>619</v>
      </c>
      <c r="B34" s="155"/>
      <c r="C34" s="156" t="s">
        <v>1562</v>
      </c>
    </row>
    <row r="35" spans="1:3" ht="75" customHeight="1" thickBot="1" x14ac:dyDescent="0.25">
      <c r="A35" s="154" t="s">
        <v>1563</v>
      </c>
      <c r="B35" s="155" t="s">
        <v>2175</v>
      </c>
      <c r="C35" s="156" t="s">
        <v>1564</v>
      </c>
    </row>
    <row r="36" spans="1:3" ht="75" customHeight="1" thickBot="1" x14ac:dyDescent="0.25">
      <c r="A36" s="154" t="s">
        <v>1565</v>
      </c>
      <c r="B36" s="155"/>
      <c r="C36" s="156" t="s">
        <v>604</v>
      </c>
    </row>
    <row r="37" spans="1:3" ht="75" customHeight="1" thickBot="1" x14ac:dyDescent="0.25">
      <c r="A37" s="154" t="s">
        <v>1566</v>
      </c>
      <c r="B37" s="155"/>
      <c r="C37" s="156" t="s">
        <v>1567</v>
      </c>
    </row>
    <row r="38" spans="1:3" ht="75" customHeight="1" thickBot="1" x14ac:dyDescent="0.25">
      <c r="A38" s="154" t="s">
        <v>529</v>
      </c>
      <c r="B38" s="155" t="s">
        <v>2155</v>
      </c>
      <c r="C38" s="156" t="s">
        <v>530</v>
      </c>
    </row>
    <row r="39" spans="1:3" ht="75" customHeight="1" thickBot="1" x14ac:dyDescent="0.25">
      <c r="A39" s="154" t="s">
        <v>753</v>
      </c>
      <c r="B39" s="155"/>
      <c r="C39" s="156" t="s">
        <v>754</v>
      </c>
    </row>
    <row r="40" spans="1:3" ht="75" customHeight="1" thickBot="1" x14ac:dyDescent="0.25">
      <c r="A40" s="154" t="s">
        <v>1568</v>
      </c>
      <c r="B40" s="155" t="s">
        <v>2170</v>
      </c>
      <c r="C40" s="156" t="s">
        <v>1569</v>
      </c>
    </row>
    <row r="41" spans="1:3" ht="75" customHeight="1" thickBot="1" x14ac:dyDescent="0.25">
      <c r="A41" s="154" t="s">
        <v>741</v>
      </c>
      <c r="B41" s="155" t="s">
        <v>2179</v>
      </c>
      <c r="C41" s="156" t="s">
        <v>742</v>
      </c>
    </row>
    <row r="42" spans="1:3" ht="75" customHeight="1" thickBot="1" x14ac:dyDescent="0.25">
      <c r="A42" s="154" t="s">
        <v>1570</v>
      </c>
      <c r="B42" s="155" t="s">
        <v>2178</v>
      </c>
      <c r="C42" s="156" t="s">
        <v>1571</v>
      </c>
    </row>
    <row r="43" spans="1:3" ht="75" customHeight="1" thickBot="1" x14ac:dyDescent="0.25">
      <c r="A43" s="154" t="s">
        <v>828</v>
      </c>
      <c r="B43" s="155" t="s">
        <v>2162</v>
      </c>
      <c r="C43" s="156" t="s">
        <v>1572</v>
      </c>
    </row>
    <row r="44" spans="1:3" ht="75" customHeight="1" thickBot="1" x14ac:dyDescent="0.25">
      <c r="A44" s="154" t="s">
        <v>1573</v>
      </c>
      <c r="B44" s="155" t="s">
        <v>2162</v>
      </c>
      <c r="C44" s="156" t="s">
        <v>1574</v>
      </c>
    </row>
    <row r="45" spans="1:3" ht="75" customHeight="1" thickBot="1" x14ac:dyDescent="0.25">
      <c r="A45" s="154" t="s">
        <v>1575</v>
      </c>
      <c r="B45" s="155"/>
      <c r="C45" s="156" t="s">
        <v>1576</v>
      </c>
    </row>
    <row r="46" spans="1:3" ht="75" customHeight="1" thickBot="1" x14ac:dyDescent="0.25">
      <c r="A46" s="154" t="s">
        <v>1577</v>
      </c>
      <c r="B46" s="155"/>
      <c r="C46" s="156" t="s">
        <v>1578</v>
      </c>
    </row>
    <row r="47" spans="1:3" ht="75" customHeight="1" thickBot="1" x14ac:dyDescent="0.25">
      <c r="A47" s="154" t="s">
        <v>1579</v>
      </c>
      <c r="B47" s="155" t="s">
        <v>2166</v>
      </c>
      <c r="C47" s="156" t="s">
        <v>1580</v>
      </c>
    </row>
    <row r="48" spans="1:3" ht="75" customHeight="1" thickBot="1" x14ac:dyDescent="0.25">
      <c r="A48" s="154" t="s">
        <v>1581</v>
      </c>
      <c r="B48" s="155"/>
      <c r="C48" s="156" t="s">
        <v>1582</v>
      </c>
    </row>
    <row r="49" spans="1:3" ht="75" customHeight="1" thickBot="1" x14ac:dyDescent="0.25">
      <c r="A49" s="154" t="s">
        <v>1583</v>
      </c>
      <c r="B49" s="155"/>
      <c r="C49" s="156" t="s">
        <v>1584</v>
      </c>
    </row>
    <row r="50" spans="1:3" ht="75" customHeight="1" thickBot="1" x14ac:dyDescent="0.25">
      <c r="A50" s="154" t="s">
        <v>1585</v>
      </c>
      <c r="B50" s="155"/>
      <c r="C50" s="156" t="s">
        <v>1586</v>
      </c>
    </row>
    <row r="51" spans="1:3" ht="75" customHeight="1" thickBot="1" x14ac:dyDescent="0.25">
      <c r="A51" s="154" t="s">
        <v>1587</v>
      </c>
      <c r="B51" s="155" t="s">
        <v>2165</v>
      </c>
      <c r="C51" s="156" t="s">
        <v>1588</v>
      </c>
    </row>
    <row r="52" spans="1:3" ht="75" customHeight="1" thickBot="1" x14ac:dyDescent="0.25">
      <c r="A52" s="154" t="s">
        <v>1589</v>
      </c>
      <c r="B52" s="155"/>
      <c r="C52" s="156"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baseColWidth="10" defaultColWidth="9.3984375" defaultRowHeight="15" x14ac:dyDescent="0.2"/>
  <cols>
    <col min="1" max="1" width="22.19921875" style="158" bestFit="1" customWidth="1" collapsed="1"/>
    <col min="2" max="2" width="42.59765625" style="158" bestFit="1" customWidth="1" collapsed="1"/>
    <col min="3" max="3" width="30" style="158" customWidth="1" collapsed="1"/>
    <col min="4" max="10" width="30" style="158" bestFit="1" customWidth="1" collapsed="1"/>
    <col min="11" max="11" width="30" style="158" customWidth="1" collapsed="1"/>
    <col min="12" max="13" width="42.59765625" style="158" bestFit="1" customWidth="1" collapsed="1"/>
    <col min="14" max="16384" width="9.3984375" style="158" collapsed="1"/>
  </cols>
  <sheetData>
    <row r="1" spans="1:13" ht="18" x14ac:dyDescent="0.2">
      <c r="A1" s="157" t="s">
        <v>1591</v>
      </c>
    </row>
    <row r="3" spans="1:13" ht="17.25" customHeight="1" x14ac:dyDescent="0.2">
      <c r="A3" s="575" t="s">
        <v>632</v>
      </c>
      <c r="B3" s="575"/>
      <c r="C3" s="575"/>
      <c r="D3" s="575"/>
      <c r="E3" s="575"/>
      <c r="F3" s="575"/>
      <c r="G3" s="576" t="s">
        <v>633</v>
      </c>
      <c r="H3" s="576"/>
      <c r="I3" s="576"/>
      <c r="J3" s="576"/>
      <c r="K3" s="576"/>
      <c r="L3" s="576"/>
      <c r="M3" s="576"/>
    </row>
    <row r="4" spans="1:13" x14ac:dyDescent="0.2">
      <c r="A4" s="577"/>
      <c r="B4" s="577"/>
      <c r="C4" s="578" t="s">
        <v>1592</v>
      </c>
      <c r="D4" s="578"/>
      <c r="E4" s="578"/>
      <c r="F4" s="578"/>
      <c r="G4" s="578"/>
      <c r="H4" s="578"/>
      <c r="I4" s="578"/>
      <c r="J4" s="578"/>
      <c r="K4" s="578"/>
      <c r="L4" s="577"/>
      <c r="M4" s="577"/>
    </row>
    <row r="5" spans="1:13" ht="25" x14ac:dyDescent="0.2">
      <c r="A5" s="577"/>
      <c r="B5" s="577"/>
      <c r="C5" s="159" t="s">
        <v>632</v>
      </c>
      <c r="D5" s="159" t="s">
        <v>1593</v>
      </c>
      <c r="E5" s="159" t="s">
        <v>1594</v>
      </c>
      <c r="F5" s="159" t="s">
        <v>1595</v>
      </c>
      <c r="G5" s="159" t="s">
        <v>1596</v>
      </c>
      <c r="H5" s="159" t="s">
        <v>1597</v>
      </c>
      <c r="I5" s="159" t="s">
        <v>1598</v>
      </c>
      <c r="J5" s="159" t="s">
        <v>1599</v>
      </c>
      <c r="K5" s="159" t="s">
        <v>632</v>
      </c>
      <c r="L5" s="577"/>
      <c r="M5" s="577"/>
    </row>
    <row r="6" spans="1:13" ht="16" thickBot="1" x14ac:dyDescent="0.25">
      <c r="A6" s="571" t="s">
        <v>1600</v>
      </c>
      <c r="B6" s="160" t="s">
        <v>1601</v>
      </c>
      <c r="C6" s="161">
        <v>15848370</v>
      </c>
      <c r="D6" s="161">
        <v>2425</v>
      </c>
      <c r="E6" s="162">
        <v>16379</v>
      </c>
      <c r="F6" s="161">
        <v>59448</v>
      </c>
      <c r="G6" s="161"/>
      <c r="H6" s="161"/>
      <c r="I6" s="161">
        <v>263707</v>
      </c>
      <c r="J6" s="162"/>
      <c r="K6" s="163">
        <v>16157571</v>
      </c>
      <c r="L6" s="164" t="s">
        <v>1602</v>
      </c>
      <c r="M6" s="573" t="s">
        <v>1603</v>
      </c>
    </row>
    <row r="7" spans="1:13" ht="29" thickBot="1" x14ac:dyDescent="0.25">
      <c r="A7" s="571"/>
      <c r="B7" s="160" t="s">
        <v>1604</v>
      </c>
      <c r="C7" s="161">
        <v>7768626</v>
      </c>
      <c r="D7" s="161">
        <v>24918</v>
      </c>
      <c r="E7" s="162">
        <v>8335</v>
      </c>
      <c r="F7" s="161">
        <v>89137</v>
      </c>
      <c r="G7" s="161"/>
      <c r="H7" s="161"/>
      <c r="I7" s="161">
        <v>0</v>
      </c>
      <c r="J7" s="162"/>
      <c r="K7" s="163">
        <v>7874346</v>
      </c>
      <c r="L7" s="164" t="s">
        <v>1605</v>
      </c>
      <c r="M7" s="573"/>
    </row>
    <row r="8" spans="1:13" ht="16" thickBot="1" x14ac:dyDescent="0.25">
      <c r="A8" s="571"/>
      <c r="B8" s="160" t="s">
        <v>1606</v>
      </c>
      <c r="C8" s="161"/>
      <c r="D8" s="161"/>
      <c r="E8" s="162"/>
      <c r="F8" s="161"/>
      <c r="G8" s="161"/>
      <c r="H8" s="161"/>
      <c r="I8" s="161"/>
      <c r="J8" s="162"/>
      <c r="K8" s="163"/>
      <c r="L8" s="164" t="s">
        <v>1607</v>
      </c>
      <c r="M8" s="573"/>
    </row>
    <row r="9" spans="1:13" ht="16" thickBot="1" x14ac:dyDescent="0.25">
      <c r="A9" s="571"/>
      <c r="B9" s="160" t="s">
        <v>1608</v>
      </c>
      <c r="C9" s="161"/>
      <c r="D9" s="161"/>
      <c r="E9" s="162"/>
      <c r="F9" s="161"/>
      <c r="G9" s="161"/>
      <c r="H9" s="161"/>
      <c r="I9" s="161"/>
      <c r="J9" s="162"/>
      <c r="K9" s="163"/>
      <c r="L9" s="164" t="s">
        <v>1609</v>
      </c>
      <c r="M9" s="573"/>
    </row>
    <row r="10" spans="1:13" ht="16" thickBot="1" x14ac:dyDescent="0.25">
      <c r="A10" s="571"/>
      <c r="B10" s="160" t="s">
        <v>1610</v>
      </c>
      <c r="C10" s="161"/>
      <c r="D10" s="161"/>
      <c r="E10" s="162"/>
      <c r="F10" s="161"/>
      <c r="G10" s="161"/>
      <c r="H10" s="161"/>
      <c r="I10" s="161"/>
      <c r="J10" s="162"/>
      <c r="K10" s="163"/>
      <c r="L10" s="164" t="s">
        <v>1611</v>
      </c>
      <c r="M10" s="573"/>
    </row>
    <row r="11" spans="1:13" ht="29" thickBot="1" x14ac:dyDescent="0.25">
      <c r="A11" s="571"/>
      <c r="B11" s="160" t="s">
        <v>1612</v>
      </c>
      <c r="C11" s="161">
        <v>11518827</v>
      </c>
      <c r="D11" s="161">
        <v>1371077</v>
      </c>
      <c r="E11" s="162">
        <v>-182275</v>
      </c>
      <c r="F11" s="161">
        <v>0</v>
      </c>
      <c r="G11" s="161"/>
      <c r="H11" s="161"/>
      <c r="I11" s="161">
        <v>0</v>
      </c>
      <c r="J11" s="162"/>
      <c r="K11" s="163">
        <v>13072179</v>
      </c>
      <c r="L11" s="164" t="s">
        <v>1613</v>
      </c>
      <c r="M11" s="573"/>
    </row>
    <row r="12" spans="1:13" ht="16" thickBot="1" x14ac:dyDescent="0.25">
      <c r="A12" s="571"/>
      <c r="B12" s="160" t="s">
        <v>1614</v>
      </c>
      <c r="C12" s="161">
        <v>0</v>
      </c>
      <c r="D12" s="161">
        <v>0</v>
      </c>
      <c r="E12" s="162">
        <v>0</v>
      </c>
      <c r="F12" s="161">
        <v>0</v>
      </c>
      <c r="G12" s="161"/>
      <c r="H12" s="161"/>
      <c r="I12" s="161">
        <v>0</v>
      </c>
      <c r="J12" s="162"/>
      <c r="K12" s="163">
        <v>0</v>
      </c>
      <c r="L12" s="164" t="s">
        <v>1615</v>
      </c>
      <c r="M12" s="573"/>
    </row>
    <row r="13" spans="1:13" ht="16" thickBot="1" x14ac:dyDescent="0.25">
      <c r="A13" s="571"/>
      <c r="B13" s="160" t="s">
        <v>1616</v>
      </c>
      <c r="C13" s="161"/>
      <c r="D13" s="161"/>
      <c r="E13" s="162"/>
      <c r="F13" s="161"/>
      <c r="G13" s="161"/>
      <c r="H13" s="161"/>
      <c r="I13" s="161"/>
      <c r="J13" s="162"/>
      <c r="K13" s="163"/>
      <c r="L13" s="164" t="s">
        <v>1617</v>
      </c>
      <c r="M13" s="573"/>
    </row>
    <row r="14" spans="1:13" ht="16" thickBot="1" x14ac:dyDescent="0.25">
      <c r="A14" s="571"/>
      <c r="B14" s="160" t="s">
        <v>1618</v>
      </c>
      <c r="C14" s="161"/>
      <c r="D14" s="161"/>
      <c r="E14" s="162"/>
      <c r="F14" s="161"/>
      <c r="G14" s="161"/>
      <c r="H14" s="161"/>
      <c r="I14" s="161"/>
      <c r="J14" s="162"/>
      <c r="K14" s="163"/>
      <c r="L14" s="164" t="s">
        <v>1619</v>
      </c>
      <c r="M14" s="573"/>
    </row>
    <row r="15" spans="1:13" ht="16" thickBot="1" x14ac:dyDescent="0.25">
      <c r="A15" s="571"/>
      <c r="B15" s="160" t="s">
        <v>1620</v>
      </c>
      <c r="C15" s="161"/>
      <c r="D15" s="161"/>
      <c r="E15" s="162"/>
      <c r="F15" s="161"/>
      <c r="G15" s="161"/>
      <c r="H15" s="161"/>
      <c r="I15" s="161"/>
      <c r="J15" s="162"/>
      <c r="K15" s="163"/>
      <c r="L15" s="164" t="s">
        <v>1621</v>
      </c>
      <c r="M15" s="573"/>
    </row>
    <row r="16" spans="1:13" ht="16" thickBot="1" x14ac:dyDescent="0.25">
      <c r="A16" s="571"/>
      <c r="B16" s="160" t="s">
        <v>1622</v>
      </c>
      <c r="C16" s="161"/>
      <c r="D16" s="161"/>
      <c r="E16" s="162"/>
      <c r="F16" s="161"/>
      <c r="G16" s="161"/>
      <c r="H16" s="161"/>
      <c r="I16" s="161"/>
      <c r="J16" s="162"/>
      <c r="K16" s="163"/>
      <c r="L16" s="164" t="s">
        <v>1623</v>
      </c>
      <c r="M16" s="573"/>
    </row>
    <row r="17" spans="1:13" ht="29" thickBot="1" x14ac:dyDescent="0.25">
      <c r="A17" s="571"/>
      <c r="B17" s="160" t="s">
        <v>1624</v>
      </c>
      <c r="C17" s="161"/>
      <c r="D17" s="161"/>
      <c r="E17" s="162"/>
      <c r="F17" s="161"/>
      <c r="G17" s="161"/>
      <c r="H17" s="161"/>
      <c r="I17" s="161"/>
      <c r="J17" s="162"/>
      <c r="K17" s="163"/>
      <c r="L17" s="164" t="s">
        <v>1625</v>
      </c>
      <c r="M17" s="573"/>
    </row>
    <row r="18" spans="1:13" ht="16" thickBot="1" x14ac:dyDescent="0.25">
      <c r="A18" s="571"/>
      <c r="B18" s="160" t="s">
        <v>1626</v>
      </c>
      <c r="C18" s="161"/>
      <c r="D18" s="161"/>
      <c r="E18" s="162"/>
      <c r="F18" s="161"/>
      <c r="G18" s="161"/>
      <c r="H18" s="161"/>
      <c r="I18" s="161"/>
      <c r="J18" s="162"/>
      <c r="K18" s="163"/>
      <c r="L18" s="164" t="s">
        <v>1627</v>
      </c>
      <c r="M18" s="573"/>
    </row>
    <row r="19" spans="1:13" ht="16" thickBot="1" x14ac:dyDescent="0.25">
      <c r="A19" s="571"/>
      <c r="B19" s="160" t="s">
        <v>1628</v>
      </c>
      <c r="C19" s="161"/>
      <c r="D19" s="161"/>
      <c r="E19" s="162"/>
      <c r="F19" s="161"/>
      <c r="G19" s="161"/>
      <c r="H19" s="161"/>
      <c r="I19" s="161"/>
      <c r="J19" s="162"/>
      <c r="K19" s="163"/>
      <c r="L19" s="164" t="s">
        <v>1629</v>
      </c>
      <c r="M19" s="573"/>
    </row>
    <row r="20" spans="1:13" ht="16" thickBot="1" x14ac:dyDescent="0.25">
      <c r="A20" s="571"/>
      <c r="B20" s="165" t="s">
        <v>1630</v>
      </c>
      <c r="C20" s="163">
        <v>35135823</v>
      </c>
      <c r="D20" s="163">
        <v>1398420</v>
      </c>
      <c r="E20" s="162">
        <v>-157561</v>
      </c>
      <c r="F20" s="163">
        <v>148585</v>
      </c>
      <c r="G20" s="163">
        <v>0</v>
      </c>
      <c r="H20" s="163">
        <v>0</v>
      </c>
      <c r="I20" s="163">
        <v>263707</v>
      </c>
      <c r="J20" s="162">
        <v>0</v>
      </c>
      <c r="K20" s="163">
        <v>37104096</v>
      </c>
      <c r="L20" s="166" t="s">
        <v>1631</v>
      </c>
      <c r="M20" s="573"/>
    </row>
    <row r="21" spans="1:13" ht="16" thickBot="1" x14ac:dyDescent="0.25">
      <c r="A21" s="571"/>
      <c r="B21" s="160" t="s">
        <v>1632</v>
      </c>
      <c r="C21" s="161">
        <v>1743720</v>
      </c>
      <c r="D21" s="161">
        <v>536213</v>
      </c>
      <c r="E21" s="162">
        <v>489446</v>
      </c>
      <c r="F21" s="161">
        <v>0</v>
      </c>
      <c r="G21" s="161"/>
      <c r="H21" s="161"/>
      <c r="I21" s="161">
        <v>0</v>
      </c>
      <c r="J21" s="162"/>
      <c r="K21" s="163">
        <v>1790487</v>
      </c>
      <c r="L21" s="164" t="s">
        <v>1633</v>
      </c>
      <c r="M21" s="573"/>
    </row>
    <row r="22" spans="1:13" ht="29" thickBot="1" x14ac:dyDescent="0.25">
      <c r="A22" s="571"/>
      <c r="B22" s="160" t="s">
        <v>1634</v>
      </c>
      <c r="C22" s="161"/>
      <c r="D22" s="161"/>
      <c r="E22" s="162"/>
      <c r="F22" s="161"/>
      <c r="G22" s="161"/>
      <c r="H22" s="161"/>
      <c r="I22" s="161"/>
      <c r="J22" s="162"/>
      <c r="K22" s="163"/>
      <c r="L22" s="164" t="s">
        <v>1635</v>
      </c>
      <c r="M22" s="573"/>
    </row>
    <row r="23" spans="1:13" ht="16" thickBot="1" x14ac:dyDescent="0.25">
      <c r="A23" s="571"/>
      <c r="B23" s="160" t="s">
        <v>1636</v>
      </c>
      <c r="C23" s="161"/>
      <c r="D23" s="161"/>
      <c r="E23" s="162"/>
      <c r="F23" s="161"/>
      <c r="G23" s="161"/>
      <c r="H23" s="161"/>
      <c r="I23" s="161"/>
      <c r="J23" s="162"/>
      <c r="K23" s="163"/>
      <c r="L23" s="164" t="s">
        <v>1637</v>
      </c>
      <c r="M23" s="573"/>
    </row>
    <row r="24" spans="1:13" ht="16" thickBot="1" x14ac:dyDescent="0.25">
      <c r="A24" s="571"/>
      <c r="B24" s="160" t="s">
        <v>1638</v>
      </c>
      <c r="C24" s="161"/>
      <c r="D24" s="161"/>
      <c r="E24" s="162"/>
      <c r="F24" s="161"/>
      <c r="G24" s="161"/>
      <c r="H24" s="161"/>
      <c r="I24" s="161"/>
      <c r="J24" s="162"/>
      <c r="K24" s="163"/>
      <c r="L24" s="164" t="s">
        <v>1639</v>
      </c>
      <c r="M24" s="573"/>
    </row>
    <row r="25" spans="1:13" ht="29" thickBot="1" x14ac:dyDescent="0.25">
      <c r="A25" s="571"/>
      <c r="B25" s="160" t="s">
        <v>1640</v>
      </c>
      <c r="C25" s="161">
        <v>0</v>
      </c>
      <c r="D25" s="161">
        <v>0</v>
      </c>
      <c r="E25" s="162">
        <v>0</v>
      </c>
      <c r="F25" s="161">
        <v>0</v>
      </c>
      <c r="G25" s="161"/>
      <c r="H25" s="161"/>
      <c r="I25" s="161">
        <v>0</v>
      </c>
      <c r="J25" s="162"/>
      <c r="K25" s="163">
        <v>0</v>
      </c>
      <c r="L25" s="164" t="s">
        <v>1641</v>
      </c>
      <c r="M25" s="573"/>
    </row>
    <row r="26" spans="1:13" ht="16" thickBot="1" x14ac:dyDescent="0.25">
      <c r="A26" s="571"/>
      <c r="B26" s="160" t="s">
        <v>1642</v>
      </c>
      <c r="C26" s="161">
        <v>0</v>
      </c>
      <c r="D26" s="161">
        <v>0</v>
      </c>
      <c r="E26" s="162">
        <v>0</v>
      </c>
      <c r="F26" s="161">
        <v>0</v>
      </c>
      <c r="G26" s="161"/>
      <c r="H26" s="161"/>
      <c r="I26" s="161">
        <v>0</v>
      </c>
      <c r="J26" s="162"/>
      <c r="K26" s="163">
        <v>0</v>
      </c>
      <c r="L26" s="164" t="s">
        <v>1643</v>
      </c>
      <c r="M26" s="573"/>
    </row>
    <row r="27" spans="1:13" ht="16" thickBot="1" x14ac:dyDescent="0.25">
      <c r="A27" s="571"/>
      <c r="B27" s="160" t="s">
        <v>1644</v>
      </c>
      <c r="C27" s="161"/>
      <c r="D27" s="161"/>
      <c r="E27" s="162"/>
      <c r="F27" s="161"/>
      <c r="G27" s="161"/>
      <c r="H27" s="161"/>
      <c r="I27" s="161"/>
      <c r="J27" s="162"/>
      <c r="K27" s="163"/>
      <c r="L27" s="164" t="s">
        <v>1645</v>
      </c>
      <c r="M27" s="573"/>
    </row>
    <row r="28" spans="1:13" ht="16" thickBot="1" x14ac:dyDescent="0.25">
      <c r="A28" s="571"/>
      <c r="B28" s="160" t="s">
        <v>1646</v>
      </c>
      <c r="C28" s="161"/>
      <c r="D28" s="161"/>
      <c r="E28" s="162"/>
      <c r="F28" s="161"/>
      <c r="G28" s="161"/>
      <c r="H28" s="161"/>
      <c r="I28" s="161"/>
      <c r="J28" s="162"/>
      <c r="K28" s="163"/>
      <c r="L28" s="164" t="s">
        <v>1647</v>
      </c>
      <c r="M28" s="573"/>
    </row>
    <row r="29" spans="1:13" ht="16" thickBot="1" x14ac:dyDescent="0.25">
      <c r="A29" s="571"/>
      <c r="B29" s="160" t="s">
        <v>1648</v>
      </c>
      <c r="C29" s="161"/>
      <c r="D29" s="161"/>
      <c r="E29" s="162"/>
      <c r="F29" s="161"/>
      <c r="G29" s="161"/>
      <c r="H29" s="161"/>
      <c r="I29" s="161"/>
      <c r="J29" s="162"/>
      <c r="K29" s="163"/>
      <c r="L29" s="164" t="s">
        <v>1649</v>
      </c>
      <c r="M29" s="573"/>
    </row>
    <row r="30" spans="1:13" ht="16" thickBot="1" x14ac:dyDescent="0.25">
      <c r="A30" s="571"/>
      <c r="B30" s="160" t="s">
        <v>1650</v>
      </c>
      <c r="C30" s="161"/>
      <c r="D30" s="161"/>
      <c r="E30" s="162"/>
      <c r="F30" s="161"/>
      <c r="G30" s="161"/>
      <c r="H30" s="161"/>
      <c r="I30" s="161"/>
      <c r="J30" s="162"/>
      <c r="K30" s="163"/>
      <c r="L30" s="164" t="s">
        <v>1651</v>
      </c>
      <c r="M30" s="573"/>
    </row>
    <row r="31" spans="1:13" ht="29" thickBot="1" x14ac:dyDescent="0.25">
      <c r="A31" s="571"/>
      <c r="B31" s="160" t="s">
        <v>1652</v>
      </c>
      <c r="C31" s="161"/>
      <c r="D31" s="161"/>
      <c r="E31" s="162"/>
      <c r="F31" s="161"/>
      <c r="G31" s="161"/>
      <c r="H31" s="161"/>
      <c r="I31" s="161"/>
      <c r="J31" s="162"/>
      <c r="K31" s="163"/>
      <c r="L31" s="164" t="s">
        <v>1653</v>
      </c>
      <c r="M31" s="573"/>
    </row>
    <row r="32" spans="1:13" ht="16" thickBot="1" x14ac:dyDescent="0.25">
      <c r="A32" s="571"/>
      <c r="B32" s="160" t="s">
        <v>1654</v>
      </c>
      <c r="C32" s="161"/>
      <c r="D32" s="161"/>
      <c r="E32" s="162"/>
      <c r="F32" s="161"/>
      <c r="G32" s="161"/>
      <c r="H32" s="161"/>
      <c r="I32" s="161"/>
      <c r="J32" s="162"/>
      <c r="K32" s="163"/>
      <c r="L32" s="164" t="s">
        <v>1655</v>
      </c>
      <c r="M32" s="573"/>
    </row>
    <row r="33" spans="1:13" ht="16" thickBot="1" x14ac:dyDescent="0.25">
      <c r="A33" s="571"/>
      <c r="B33" s="160" t="s">
        <v>1656</v>
      </c>
      <c r="C33" s="161">
        <v>103</v>
      </c>
      <c r="D33" s="161">
        <v>68</v>
      </c>
      <c r="E33" s="162">
        <v>11</v>
      </c>
      <c r="F33" s="161">
        <v>0</v>
      </c>
      <c r="G33" s="161"/>
      <c r="H33" s="161"/>
      <c r="I33" s="161">
        <v>0</v>
      </c>
      <c r="J33" s="162"/>
      <c r="K33" s="163">
        <v>160</v>
      </c>
      <c r="L33" s="164" t="s">
        <v>1657</v>
      </c>
      <c r="M33" s="573"/>
    </row>
    <row r="34" spans="1:13" ht="16" thickBot="1" x14ac:dyDescent="0.25">
      <c r="A34" s="571"/>
      <c r="B34" s="165" t="s">
        <v>634</v>
      </c>
      <c r="C34" s="163">
        <v>1743823</v>
      </c>
      <c r="D34" s="163">
        <v>536281</v>
      </c>
      <c r="E34" s="162">
        <v>489457</v>
      </c>
      <c r="F34" s="163">
        <v>0</v>
      </c>
      <c r="G34" s="163">
        <v>0</v>
      </c>
      <c r="H34" s="163">
        <v>0</v>
      </c>
      <c r="I34" s="163">
        <v>0</v>
      </c>
      <c r="J34" s="162">
        <v>0</v>
      </c>
      <c r="K34" s="163">
        <v>1790647</v>
      </c>
      <c r="L34" s="166" t="s">
        <v>635</v>
      </c>
      <c r="M34" s="573"/>
    </row>
    <row r="35" spans="1:13" ht="16" thickBot="1" x14ac:dyDescent="0.25">
      <c r="A35" s="571"/>
      <c r="B35" s="160" t="s">
        <v>1658</v>
      </c>
      <c r="C35" s="161"/>
      <c r="D35" s="161"/>
      <c r="E35" s="162"/>
      <c r="F35" s="161"/>
      <c r="G35" s="161"/>
      <c r="H35" s="161"/>
      <c r="I35" s="161"/>
      <c r="J35" s="162"/>
      <c r="K35" s="163"/>
      <c r="L35" s="164" t="s">
        <v>1659</v>
      </c>
      <c r="M35" s="573"/>
    </row>
    <row r="36" spans="1:13" ht="29" thickBot="1" x14ac:dyDescent="0.25">
      <c r="A36" s="571"/>
      <c r="B36" s="160" t="s">
        <v>1660</v>
      </c>
      <c r="C36" s="161"/>
      <c r="D36" s="161"/>
      <c r="E36" s="162"/>
      <c r="F36" s="161"/>
      <c r="G36" s="161"/>
      <c r="H36" s="161"/>
      <c r="I36" s="161"/>
      <c r="J36" s="162"/>
      <c r="K36" s="163"/>
      <c r="L36" s="164" t="s">
        <v>1661</v>
      </c>
      <c r="M36" s="573"/>
    </row>
    <row r="37" spans="1:13" ht="29" thickBot="1" x14ac:dyDescent="0.25">
      <c r="A37" s="571"/>
      <c r="B37" s="160" t="s">
        <v>1662</v>
      </c>
      <c r="C37" s="161"/>
      <c r="D37" s="161"/>
      <c r="E37" s="162"/>
      <c r="F37" s="161"/>
      <c r="G37" s="161"/>
      <c r="H37" s="161"/>
      <c r="I37" s="161"/>
      <c r="J37" s="162"/>
      <c r="K37" s="163"/>
      <c r="L37" s="164" t="s">
        <v>1663</v>
      </c>
      <c r="M37" s="573"/>
    </row>
    <row r="38" spans="1:13" ht="29" thickBot="1" x14ac:dyDescent="0.25">
      <c r="A38" s="571"/>
      <c r="B38" s="160" t="s">
        <v>1664</v>
      </c>
      <c r="C38" s="161"/>
      <c r="D38" s="161"/>
      <c r="E38" s="162"/>
      <c r="F38" s="161"/>
      <c r="G38" s="161"/>
      <c r="H38" s="161"/>
      <c r="I38" s="161"/>
      <c r="J38" s="162"/>
      <c r="K38" s="163"/>
      <c r="L38" s="164" t="s">
        <v>1665</v>
      </c>
      <c r="M38" s="573"/>
    </row>
    <row r="39" spans="1:13" ht="29" thickBot="1" x14ac:dyDescent="0.25">
      <c r="A39" s="571"/>
      <c r="B39" s="160" t="s">
        <v>1666</v>
      </c>
      <c r="C39" s="161"/>
      <c r="D39" s="161"/>
      <c r="E39" s="162"/>
      <c r="F39" s="161"/>
      <c r="G39" s="161"/>
      <c r="H39" s="161"/>
      <c r="I39" s="161"/>
      <c r="J39" s="162"/>
      <c r="K39" s="163"/>
      <c r="L39" s="164" t="s">
        <v>1667</v>
      </c>
      <c r="M39" s="573"/>
    </row>
    <row r="40" spans="1:13" ht="29" thickBot="1" x14ac:dyDescent="0.25">
      <c r="A40" s="571"/>
      <c r="B40" s="160" t="s">
        <v>1668</v>
      </c>
      <c r="C40" s="161"/>
      <c r="D40" s="161"/>
      <c r="E40" s="162"/>
      <c r="F40" s="161"/>
      <c r="G40" s="161"/>
      <c r="H40" s="161"/>
      <c r="I40" s="161"/>
      <c r="J40" s="162"/>
      <c r="K40" s="163"/>
      <c r="L40" s="164" t="s">
        <v>1669</v>
      </c>
      <c r="M40" s="573"/>
    </row>
    <row r="41" spans="1:13" ht="16" thickBot="1" x14ac:dyDescent="0.25">
      <c r="A41" s="571"/>
      <c r="B41" s="160" t="s">
        <v>1670</v>
      </c>
      <c r="C41" s="161">
        <v>1270684</v>
      </c>
      <c r="D41" s="161">
        <v>516509</v>
      </c>
      <c r="E41" s="162">
        <v>179097</v>
      </c>
      <c r="F41" s="161">
        <v>-148585</v>
      </c>
      <c r="G41" s="161"/>
      <c r="H41" s="161"/>
      <c r="I41" s="161">
        <v>0</v>
      </c>
      <c r="J41" s="162"/>
      <c r="K41" s="163">
        <v>1459511</v>
      </c>
      <c r="L41" s="164" t="s">
        <v>1671</v>
      </c>
      <c r="M41" s="573"/>
    </row>
    <row r="42" spans="1:13" ht="16" thickBot="1" x14ac:dyDescent="0.25">
      <c r="A42" s="571"/>
      <c r="B42" s="165" t="s">
        <v>1672</v>
      </c>
      <c r="C42" s="163">
        <v>1270684</v>
      </c>
      <c r="D42" s="163">
        <v>516509</v>
      </c>
      <c r="E42" s="162">
        <v>179097</v>
      </c>
      <c r="F42" s="163">
        <v>-148585</v>
      </c>
      <c r="G42" s="163">
        <v>0</v>
      </c>
      <c r="H42" s="163">
        <v>0</v>
      </c>
      <c r="I42" s="163">
        <v>0</v>
      </c>
      <c r="J42" s="162">
        <v>0</v>
      </c>
      <c r="K42" s="163">
        <v>1459511</v>
      </c>
      <c r="L42" s="166" t="s">
        <v>1673</v>
      </c>
      <c r="M42" s="573"/>
    </row>
    <row r="43" spans="1:13" ht="16" thickBot="1" x14ac:dyDescent="0.25">
      <c r="A43" s="572"/>
      <c r="B43" s="165" t="s">
        <v>632</v>
      </c>
      <c r="C43" s="163">
        <v>38150330</v>
      </c>
      <c r="D43" s="163">
        <v>2451210</v>
      </c>
      <c r="E43" s="162">
        <v>510993</v>
      </c>
      <c r="F43" s="163">
        <v>0</v>
      </c>
      <c r="G43" s="163">
        <v>0</v>
      </c>
      <c r="H43" s="163">
        <v>0</v>
      </c>
      <c r="I43" s="163">
        <v>263707</v>
      </c>
      <c r="J43" s="162">
        <v>0</v>
      </c>
      <c r="K43" s="163">
        <v>40354254</v>
      </c>
      <c r="L43" s="166" t="s">
        <v>633</v>
      </c>
      <c r="M43" s="574"/>
    </row>
    <row r="44" spans="1:13" ht="16" thickBot="1" x14ac:dyDescent="0.25">
      <c r="A44" s="579" t="s">
        <v>1674</v>
      </c>
      <c r="B44" s="160" t="s">
        <v>1601</v>
      </c>
      <c r="C44" s="161"/>
      <c r="D44" s="161"/>
      <c r="E44" s="162"/>
      <c r="F44" s="161"/>
      <c r="G44" s="161"/>
      <c r="H44" s="161"/>
      <c r="I44" s="161"/>
      <c r="J44" s="162"/>
      <c r="K44" s="163"/>
      <c r="L44" s="164" t="s">
        <v>1602</v>
      </c>
      <c r="M44" s="580" t="s">
        <v>1675</v>
      </c>
    </row>
    <row r="45" spans="1:13" ht="29" thickBot="1" x14ac:dyDescent="0.25">
      <c r="A45" s="571"/>
      <c r="B45" s="160" t="s">
        <v>1604</v>
      </c>
      <c r="C45" s="161">
        <v>3294788</v>
      </c>
      <c r="D45" s="161">
        <v>344704</v>
      </c>
      <c r="E45" s="162">
        <v>5403</v>
      </c>
      <c r="F45" s="161">
        <v>0</v>
      </c>
      <c r="G45" s="161"/>
      <c r="H45" s="161"/>
      <c r="I45" s="161">
        <v>0</v>
      </c>
      <c r="J45" s="162"/>
      <c r="K45" s="163">
        <v>3634089</v>
      </c>
      <c r="L45" s="164" t="s">
        <v>1605</v>
      </c>
      <c r="M45" s="573"/>
    </row>
    <row r="46" spans="1:13" ht="16" thickBot="1" x14ac:dyDescent="0.25">
      <c r="A46" s="571"/>
      <c r="B46" s="160" t="s">
        <v>1606</v>
      </c>
      <c r="C46" s="161"/>
      <c r="D46" s="161"/>
      <c r="E46" s="162"/>
      <c r="F46" s="161"/>
      <c r="G46" s="161"/>
      <c r="H46" s="161"/>
      <c r="I46" s="161"/>
      <c r="J46" s="162"/>
      <c r="K46" s="163"/>
      <c r="L46" s="164" t="s">
        <v>1607</v>
      </c>
      <c r="M46" s="573"/>
    </row>
    <row r="47" spans="1:13" ht="16" thickBot="1" x14ac:dyDescent="0.25">
      <c r="A47" s="571"/>
      <c r="B47" s="160" t="s">
        <v>1608</v>
      </c>
      <c r="C47" s="161"/>
      <c r="D47" s="161"/>
      <c r="E47" s="162"/>
      <c r="F47" s="161"/>
      <c r="G47" s="161"/>
      <c r="H47" s="161"/>
      <c r="I47" s="161"/>
      <c r="J47" s="162"/>
      <c r="K47" s="163"/>
      <c r="L47" s="164" t="s">
        <v>1609</v>
      </c>
      <c r="M47" s="573"/>
    </row>
    <row r="48" spans="1:13" ht="16" thickBot="1" x14ac:dyDescent="0.25">
      <c r="A48" s="571"/>
      <c r="B48" s="160" t="s">
        <v>1610</v>
      </c>
      <c r="C48" s="161"/>
      <c r="D48" s="161"/>
      <c r="E48" s="162"/>
      <c r="F48" s="161"/>
      <c r="G48" s="161"/>
      <c r="H48" s="161"/>
      <c r="I48" s="161"/>
      <c r="J48" s="162"/>
      <c r="K48" s="163"/>
      <c r="L48" s="164" t="s">
        <v>1611</v>
      </c>
      <c r="M48" s="573"/>
    </row>
    <row r="49" spans="1:13" ht="29" thickBot="1" x14ac:dyDescent="0.25">
      <c r="A49" s="571"/>
      <c r="B49" s="160" t="s">
        <v>1612</v>
      </c>
      <c r="C49" s="161">
        <v>5814428</v>
      </c>
      <c r="D49" s="161">
        <v>1648961</v>
      </c>
      <c r="E49" s="162">
        <v>47611</v>
      </c>
      <c r="F49" s="161">
        <v>0</v>
      </c>
      <c r="G49" s="161"/>
      <c r="H49" s="161"/>
      <c r="I49" s="161">
        <v>0</v>
      </c>
      <c r="J49" s="162"/>
      <c r="K49" s="163">
        <v>7415778</v>
      </c>
      <c r="L49" s="164" t="s">
        <v>1613</v>
      </c>
      <c r="M49" s="573"/>
    </row>
    <row r="50" spans="1:13" ht="16" thickBot="1" x14ac:dyDescent="0.25">
      <c r="A50" s="571"/>
      <c r="B50" s="160" t="s">
        <v>1614</v>
      </c>
      <c r="C50" s="161">
        <v>0</v>
      </c>
      <c r="D50" s="161">
        <v>0</v>
      </c>
      <c r="E50" s="162">
        <v>0</v>
      </c>
      <c r="F50" s="161">
        <v>0</v>
      </c>
      <c r="G50" s="161"/>
      <c r="H50" s="161"/>
      <c r="I50" s="161">
        <v>0</v>
      </c>
      <c r="J50" s="162"/>
      <c r="K50" s="163">
        <v>0</v>
      </c>
      <c r="L50" s="164" t="s">
        <v>1615</v>
      </c>
      <c r="M50" s="573"/>
    </row>
    <row r="51" spans="1:13" ht="16" thickBot="1" x14ac:dyDescent="0.25">
      <c r="A51" s="571"/>
      <c r="B51" s="160" t="s">
        <v>1616</v>
      </c>
      <c r="C51" s="161"/>
      <c r="D51" s="161"/>
      <c r="E51" s="162"/>
      <c r="F51" s="161"/>
      <c r="G51" s="161"/>
      <c r="H51" s="161"/>
      <c r="I51" s="161"/>
      <c r="J51" s="162"/>
      <c r="K51" s="163"/>
      <c r="L51" s="164" t="s">
        <v>1617</v>
      </c>
      <c r="M51" s="573"/>
    </row>
    <row r="52" spans="1:13" ht="16" thickBot="1" x14ac:dyDescent="0.25">
      <c r="A52" s="571"/>
      <c r="B52" s="160" t="s">
        <v>1618</v>
      </c>
      <c r="C52" s="161"/>
      <c r="D52" s="161"/>
      <c r="E52" s="162"/>
      <c r="F52" s="161"/>
      <c r="G52" s="161"/>
      <c r="H52" s="161"/>
      <c r="I52" s="161"/>
      <c r="J52" s="162"/>
      <c r="K52" s="163"/>
      <c r="L52" s="164" t="s">
        <v>1619</v>
      </c>
      <c r="M52" s="573"/>
    </row>
    <row r="53" spans="1:13" ht="16" thickBot="1" x14ac:dyDescent="0.25">
      <c r="A53" s="571"/>
      <c r="B53" s="160" t="s">
        <v>1620</v>
      </c>
      <c r="C53" s="161"/>
      <c r="D53" s="161"/>
      <c r="E53" s="162"/>
      <c r="F53" s="161"/>
      <c r="G53" s="161"/>
      <c r="H53" s="161"/>
      <c r="I53" s="161"/>
      <c r="J53" s="162"/>
      <c r="K53" s="163"/>
      <c r="L53" s="164" t="s">
        <v>1621</v>
      </c>
      <c r="M53" s="573"/>
    </row>
    <row r="54" spans="1:13" ht="16" thickBot="1" x14ac:dyDescent="0.25">
      <c r="A54" s="571"/>
      <c r="B54" s="160" t="s">
        <v>1622</v>
      </c>
      <c r="C54" s="161"/>
      <c r="D54" s="161"/>
      <c r="E54" s="162"/>
      <c r="F54" s="161"/>
      <c r="G54" s="161"/>
      <c r="H54" s="161"/>
      <c r="I54" s="161"/>
      <c r="J54" s="162"/>
      <c r="K54" s="163"/>
      <c r="L54" s="164" t="s">
        <v>1623</v>
      </c>
      <c r="M54" s="573"/>
    </row>
    <row r="55" spans="1:13" ht="29" thickBot="1" x14ac:dyDescent="0.25">
      <c r="A55" s="571"/>
      <c r="B55" s="160" t="s">
        <v>1624</v>
      </c>
      <c r="C55" s="161"/>
      <c r="D55" s="161"/>
      <c r="E55" s="162"/>
      <c r="F55" s="161"/>
      <c r="G55" s="161"/>
      <c r="H55" s="161"/>
      <c r="I55" s="161"/>
      <c r="J55" s="162"/>
      <c r="K55" s="163"/>
      <c r="L55" s="164" t="s">
        <v>1625</v>
      </c>
      <c r="M55" s="573"/>
    </row>
    <row r="56" spans="1:13" ht="16" thickBot="1" x14ac:dyDescent="0.25">
      <c r="A56" s="571"/>
      <c r="B56" s="160" t="s">
        <v>1626</v>
      </c>
      <c r="C56" s="161"/>
      <c r="D56" s="161"/>
      <c r="E56" s="162"/>
      <c r="F56" s="161"/>
      <c r="G56" s="161"/>
      <c r="H56" s="161"/>
      <c r="I56" s="161"/>
      <c r="J56" s="162"/>
      <c r="K56" s="163"/>
      <c r="L56" s="164" t="s">
        <v>1627</v>
      </c>
      <c r="M56" s="573"/>
    </row>
    <row r="57" spans="1:13" ht="16" thickBot="1" x14ac:dyDescent="0.25">
      <c r="A57" s="571"/>
      <c r="B57" s="160" t="s">
        <v>1628</v>
      </c>
      <c r="C57" s="161"/>
      <c r="D57" s="161"/>
      <c r="E57" s="162"/>
      <c r="F57" s="161"/>
      <c r="G57" s="161"/>
      <c r="H57" s="161"/>
      <c r="I57" s="161"/>
      <c r="J57" s="162"/>
      <c r="K57" s="163"/>
      <c r="L57" s="164" t="s">
        <v>1629</v>
      </c>
      <c r="M57" s="573"/>
    </row>
    <row r="58" spans="1:13" ht="16" thickBot="1" x14ac:dyDescent="0.25">
      <c r="A58" s="571"/>
      <c r="B58" s="165" t="s">
        <v>1630</v>
      </c>
      <c r="C58" s="163">
        <v>9109216</v>
      </c>
      <c r="D58" s="163">
        <v>1993665</v>
      </c>
      <c r="E58" s="162">
        <v>53014</v>
      </c>
      <c r="F58" s="163">
        <v>0</v>
      </c>
      <c r="G58" s="163">
        <v>0</v>
      </c>
      <c r="H58" s="163">
        <v>0</v>
      </c>
      <c r="I58" s="163">
        <v>0</v>
      </c>
      <c r="J58" s="162">
        <v>0</v>
      </c>
      <c r="K58" s="163">
        <v>11049867</v>
      </c>
      <c r="L58" s="166" t="s">
        <v>1631</v>
      </c>
      <c r="M58" s="573"/>
    </row>
    <row r="59" spans="1:13" ht="16" thickBot="1" x14ac:dyDescent="0.25">
      <c r="A59" s="571"/>
      <c r="B59" s="160" t="s">
        <v>1632</v>
      </c>
      <c r="C59" s="161">
        <v>790453</v>
      </c>
      <c r="D59" s="161">
        <v>409055</v>
      </c>
      <c r="E59" s="162">
        <v>368891</v>
      </c>
      <c r="F59" s="161">
        <v>0</v>
      </c>
      <c r="G59" s="161"/>
      <c r="H59" s="161"/>
      <c r="I59" s="161">
        <v>0</v>
      </c>
      <c r="J59" s="162"/>
      <c r="K59" s="163">
        <v>830617</v>
      </c>
      <c r="L59" s="164" t="s">
        <v>1633</v>
      </c>
      <c r="M59" s="573"/>
    </row>
    <row r="60" spans="1:13" ht="29" thickBot="1" x14ac:dyDescent="0.25">
      <c r="A60" s="571"/>
      <c r="B60" s="160" t="s">
        <v>1634</v>
      </c>
      <c r="C60" s="161"/>
      <c r="D60" s="161"/>
      <c r="E60" s="162"/>
      <c r="F60" s="161"/>
      <c r="G60" s="161"/>
      <c r="H60" s="161"/>
      <c r="I60" s="161"/>
      <c r="J60" s="162"/>
      <c r="K60" s="163"/>
      <c r="L60" s="164" t="s">
        <v>1635</v>
      </c>
      <c r="M60" s="573"/>
    </row>
    <row r="61" spans="1:13" ht="16" thickBot="1" x14ac:dyDescent="0.25">
      <c r="A61" s="571"/>
      <c r="B61" s="160" t="s">
        <v>1636</v>
      </c>
      <c r="C61" s="161"/>
      <c r="D61" s="161"/>
      <c r="E61" s="162"/>
      <c r="F61" s="161"/>
      <c r="G61" s="161"/>
      <c r="H61" s="161"/>
      <c r="I61" s="161"/>
      <c r="J61" s="162"/>
      <c r="K61" s="163"/>
      <c r="L61" s="164" t="s">
        <v>1637</v>
      </c>
      <c r="M61" s="573"/>
    </row>
    <row r="62" spans="1:13" ht="16" thickBot="1" x14ac:dyDescent="0.25">
      <c r="A62" s="571"/>
      <c r="B62" s="160" t="s">
        <v>1638</v>
      </c>
      <c r="C62" s="161"/>
      <c r="D62" s="161"/>
      <c r="E62" s="162"/>
      <c r="F62" s="161"/>
      <c r="G62" s="161"/>
      <c r="H62" s="161"/>
      <c r="I62" s="161"/>
      <c r="J62" s="162"/>
      <c r="K62" s="163"/>
      <c r="L62" s="164" t="s">
        <v>1639</v>
      </c>
      <c r="M62" s="573"/>
    </row>
    <row r="63" spans="1:13" ht="29" thickBot="1" x14ac:dyDescent="0.25">
      <c r="A63" s="571"/>
      <c r="B63" s="160" t="s">
        <v>1640</v>
      </c>
      <c r="C63" s="161">
        <v>0</v>
      </c>
      <c r="D63" s="161">
        <v>0</v>
      </c>
      <c r="E63" s="162">
        <v>0</v>
      </c>
      <c r="F63" s="161">
        <v>0</v>
      </c>
      <c r="G63" s="161"/>
      <c r="H63" s="161"/>
      <c r="I63" s="161">
        <v>0</v>
      </c>
      <c r="J63" s="162"/>
      <c r="K63" s="163">
        <v>0</v>
      </c>
      <c r="L63" s="164" t="s">
        <v>1641</v>
      </c>
      <c r="M63" s="573"/>
    </row>
    <row r="64" spans="1:13" ht="16" thickBot="1" x14ac:dyDescent="0.25">
      <c r="A64" s="571"/>
      <c r="B64" s="160" t="s">
        <v>1642</v>
      </c>
      <c r="C64" s="161">
        <v>0</v>
      </c>
      <c r="D64" s="161">
        <v>0</v>
      </c>
      <c r="E64" s="162">
        <v>0</v>
      </c>
      <c r="F64" s="161">
        <v>0</v>
      </c>
      <c r="G64" s="161"/>
      <c r="H64" s="161"/>
      <c r="I64" s="161">
        <v>0</v>
      </c>
      <c r="J64" s="162"/>
      <c r="K64" s="163">
        <v>0</v>
      </c>
      <c r="L64" s="164" t="s">
        <v>1643</v>
      </c>
      <c r="M64" s="573"/>
    </row>
    <row r="65" spans="1:13" ht="16" thickBot="1" x14ac:dyDescent="0.25">
      <c r="A65" s="571"/>
      <c r="B65" s="160" t="s">
        <v>1644</v>
      </c>
      <c r="C65" s="161"/>
      <c r="D65" s="161"/>
      <c r="E65" s="162"/>
      <c r="F65" s="161"/>
      <c r="G65" s="161"/>
      <c r="H65" s="161"/>
      <c r="I65" s="161"/>
      <c r="J65" s="162"/>
      <c r="K65" s="163"/>
      <c r="L65" s="164" t="s">
        <v>1645</v>
      </c>
      <c r="M65" s="573"/>
    </row>
    <row r="66" spans="1:13" ht="16" thickBot="1" x14ac:dyDescent="0.25">
      <c r="A66" s="571"/>
      <c r="B66" s="160" t="s">
        <v>1646</v>
      </c>
      <c r="C66" s="161"/>
      <c r="D66" s="161"/>
      <c r="E66" s="162"/>
      <c r="F66" s="161"/>
      <c r="G66" s="161"/>
      <c r="H66" s="161"/>
      <c r="I66" s="161"/>
      <c r="J66" s="162"/>
      <c r="K66" s="163"/>
      <c r="L66" s="164" t="s">
        <v>1647</v>
      </c>
      <c r="M66" s="573"/>
    </row>
    <row r="67" spans="1:13" ht="16" thickBot="1" x14ac:dyDescent="0.25">
      <c r="A67" s="571"/>
      <c r="B67" s="160" t="s">
        <v>1648</v>
      </c>
      <c r="C67" s="161"/>
      <c r="D67" s="161"/>
      <c r="E67" s="162"/>
      <c r="F67" s="161"/>
      <c r="G67" s="161"/>
      <c r="H67" s="161"/>
      <c r="I67" s="161"/>
      <c r="J67" s="162"/>
      <c r="K67" s="163"/>
      <c r="L67" s="164" t="s">
        <v>1649</v>
      </c>
      <c r="M67" s="573"/>
    </row>
    <row r="68" spans="1:13" ht="16" thickBot="1" x14ac:dyDescent="0.25">
      <c r="A68" s="571"/>
      <c r="B68" s="160" t="s">
        <v>1650</v>
      </c>
      <c r="C68" s="161"/>
      <c r="D68" s="161"/>
      <c r="E68" s="162"/>
      <c r="F68" s="161"/>
      <c r="G68" s="161"/>
      <c r="H68" s="161"/>
      <c r="I68" s="161"/>
      <c r="J68" s="162"/>
      <c r="K68" s="163"/>
      <c r="L68" s="164" t="s">
        <v>1651</v>
      </c>
      <c r="M68" s="573"/>
    </row>
    <row r="69" spans="1:13" ht="29" thickBot="1" x14ac:dyDescent="0.25">
      <c r="A69" s="571"/>
      <c r="B69" s="160" t="s">
        <v>1652</v>
      </c>
      <c r="C69" s="161"/>
      <c r="D69" s="161"/>
      <c r="E69" s="162"/>
      <c r="F69" s="161"/>
      <c r="G69" s="161"/>
      <c r="H69" s="161"/>
      <c r="I69" s="161"/>
      <c r="J69" s="162"/>
      <c r="K69" s="163"/>
      <c r="L69" s="164" t="s">
        <v>1653</v>
      </c>
      <c r="M69" s="573"/>
    </row>
    <row r="70" spans="1:13" ht="16" thickBot="1" x14ac:dyDescent="0.25">
      <c r="A70" s="571"/>
      <c r="B70" s="160" t="s">
        <v>1654</v>
      </c>
      <c r="C70" s="161"/>
      <c r="D70" s="161"/>
      <c r="E70" s="162"/>
      <c r="F70" s="161"/>
      <c r="G70" s="161"/>
      <c r="H70" s="161"/>
      <c r="I70" s="161"/>
      <c r="J70" s="162"/>
      <c r="K70" s="163"/>
      <c r="L70" s="164" t="s">
        <v>1655</v>
      </c>
      <c r="M70" s="573"/>
    </row>
    <row r="71" spans="1:13" ht="16" thickBot="1" x14ac:dyDescent="0.25">
      <c r="A71" s="571"/>
      <c r="B71" s="160" t="s">
        <v>1656</v>
      </c>
      <c r="C71" s="161">
        <v>37</v>
      </c>
      <c r="D71" s="161">
        <v>60</v>
      </c>
      <c r="E71" s="162">
        <v>11</v>
      </c>
      <c r="F71" s="161">
        <v>0</v>
      </c>
      <c r="G71" s="161"/>
      <c r="H71" s="161"/>
      <c r="I71" s="161">
        <v>0</v>
      </c>
      <c r="J71" s="162"/>
      <c r="K71" s="163">
        <v>86</v>
      </c>
      <c r="L71" s="164" t="s">
        <v>1657</v>
      </c>
      <c r="M71" s="573"/>
    </row>
    <row r="72" spans="1:13" ht="16" thickBot="1" x14ac:dyDescent="0.25">
      <c r="A72" s="571"/>
      <c r="B72" s="165" t="s">
        <v>634</v>
      </c>
      <c r="C72" s="163">
        <v>790490</v>
      </c>
      <c r="D72" s="163">
        <v>409115</v>
      </c>
      <c r="E72" s="162">
        <v>368902</v>
      </c>
      <c r="F72" s="163">
        <v>0</v>
      </c>
      <c r="G72" s="163">
        <v>0</v>
      </c>
      <c r="H72" s="163">
        <v>0</v>
      </c>
      <c r="I72" s="163">
        <v>0</v>
      </c>
      <c r="J72" s="162">
        <v>0</v>
      </c>
      <c r="K72" s="163">
        <v>830703</v>
      </c>
      <c r="L72" s="166" t="s">
        <v>635</v>
      </c>
      <c r="M72" s="573"/>
    </row>
    <row r="73" spans="1:13" ht="16" thickBot="1" x14ac:dyDescent="0.25">
      <c r="A73" s="571"/>
      <c r="B73" s="160" t="s">
        <v>1658</v>
      </c>
      <c r="C73" s="161"/>
      <c r="D73" s="161"/>
      <c r="E73" s="162"/>
      <c r="F73" s="161"/>
      <c r="G73" s="161"/>
      <c r="H73" s="161"/>
      <c r="I73" s="161"/>
      <c r="J73" s="162"/>
      <c r="K73" s="163"/>
      <c r="L73" s="164" t="s">
        <v>1659</v>
      </c>
      <c r="M73" s="573"/>
    </row>
    <row r="74" spans="1:13" ht="29" thickBot="1" x14ac:dyDescent="0.25">
      <c r="A74" s="571"/>
      <c r="B74" s="160" t="s">
        <v>1660</v>
      </c>
      <c r="C74" s="161"/>
      <c r="D74" s="161"/>
      <c r="E74" s="162"/>
      <c r="F74" s="161"/>
      <c r="G74" s="161"/>
      <c r="H74" s="161"/>
      <c r="I74" s="161"/>
      <c r="J74" s="162"/>
      <c r="K74" s="163"/>
      <c r="L74" s="164" t="s">
        <v>1661</v>
      </c>
      <c r="M74" s="573"/>
    </row>
    <row r="75" spans="1:13" ht="29" thickBot="1" x14ac:dyDescent="0.25">
      <c r="A75" s="571"/>
      <c r="B75" s="160" t="s">
        <v>1662</v>
      </c>
      <c r="C75" s="161"/>
      <c r="D75" s="161"/>
      <c r="E75" s="162"/>
      <c r="F75" s="161"/>
      <c r="G75" s="161"/>
      <c r="H75" s="161"/>
      <c r="I75" s="161"/>
      <c r="J75" s="162"/>
      <c r="K75" s="163"/>
      <c r="L75" s="164" t="s">
        <v>1663</v>
      </c>
      <c r="M75" s="573"/>
    </row>
    <row r="76" spans="1:13" ht="29" thickBot="1" x14ac:dyDescent="0.25">
      <c r="A76" s="571"/>
      <c r="B76" s="160" t="s">
        <v>1664</v>
      </c>
      <c r="C76" s="161"/>
      <c r="D76" s="161"/>
      <c r="E76" s="162"/>
      <c r="F76" s="161"/>
      <c r="G76" s="161"/>
      <c r="H76" s="161"/>
      <c r="I76" s="161"/>
      <c r="J76" s="162"/>
      <c r="K76" s="163"/>
      <c r="L76" s="164" t="s">
        <v>1665</v>
      </c>
      <c r="M76" s="573"/>
    </row>
    <row r="77" spans="1:13" ht="29" thickBot="1" x14ac:dyDescent="0.25">
      <c r="A77" s="571"/>
      <c r="B77" s="160" t="s">
        <v>1666</v>
      </c>
      <c r="C77" s="161"/>
      <c r="D77" s="161"/>
      <c r="E77" s="162"/>
      <c r="F77" s="161"/>
      <c r="G77" s="161"/>
      <c r="H77" s="161"/>
      <c r="I77" s="161"/>
      <c r="J77" s="162"/>
      <c r="K77" s="163"/>
      <c r="L77" s="164" t="s">
        <v>1667</v>
      </c>
      <c r="M77" s="573"/>
    </row>
    <row r="78" spans="1:13" ht="29" thickBot="1" x14ac:dyDescent="0.25">
      <c r="A78" s="571"/>
      <c r="B78" s="160" t="s">
        <v>1668</v>
      </c>
      <c r="C78" s="161"/>
      <c r="D78" s="161"/>
      <c r="E78" s="162"/>
      <c r="F78" s="161"/>
      <c r="G78" s="161"/>
      <c r="H78" s="161"/>
      <c r="I78" s="161"/>
      <c r="J78" s="162"/>
      <c r="K78" s="163"/>
      <c r="L78" s="164" t="s">
        <v>1669</v>
      </c>
      <c r="M78" s="573"/>
    </row>
    <row r="79" spans="1:13" ht="16" thickBot="1" x14ac:dyDescent="0.25">
      <c r="A79" s="571"/>
      <c r="B79" s="160" t="s">
        <v>1670</v>
      </c>
      <c r="C79" s="161"/>
      <c r="D79" s="161"/>
      <c r="E79" s="162"/>
      <c r="F79" s="161"/>
      <c r="G79" s="161"/>
      <c r="H79" s="161"/>
      <c r="I79" s="161"/>
      <c r="J79" s="162"/>
      <c r="K79" s="163"/>
      <c r="L79" s="164" t="s">
        <v>1671</v>
      </c>
      <c r="M79" s="573"/>
    </row>
    <row r="80" spans="1:13" ht="16" thickBot="1" x14ac:dyDescent="0.25">
      <c r="A80" s="571"/>
      <c r="B80" s="165" t="s">
        <v>1672</v>
      </c>
      <c r="C80" s="163">
        <v>0</v>
      </c>
      <c r="D80" s="163">
        <v>0</v>
      </c>
      <c r="E80" s="162">
        <v>0</v>
      </c>
      <c r="F80" s="163">
        <v>0</v>
      </c>
      <c r="G80" s="163">
        <v>0</v>
      </c>
      <c r="H80" s="163">
        <v>0</v>
      </c>
      <c r="I80" s="163">
        <v>0</v>
      </c>
      <c r="J80" s="162">
        <v>0</v>
      </c>
      <c r="K80" s="163">
        <v>0</v>
      </c>
      <c r="L80" s="166" t="s">
        <v>1673</v>
      </c>
      <c r="M80" s="573"/>
    </row>
    <row r="81" spans="1:13" ht="16" thickBot="1" x14ac:dyDescent="0.25">
      <c r="A81" s="572"/>
      <c r="B81" s="165" t="s">
        <v>632</v>
      </c>
      <c r="C81" s="163">
        <v>9899706</v>
      </c>
      <c r="D81" s="163">
        <v>2402780</v>
      </c>
      <c r="E81" s="162">
        <v>421916</v>
      </c>
      <c r="F81" s="163">
        <v>0</v>
      </c>
      <c r="G81" s="163">
        <v>0</v>
      </c>
      <c r="H81" s="163">
        <v>0</v>
      </c>
      <c r="I81" s="163">
        <v>0</v>
      </c>
      <c r="J81" s="162">
        <v>0</v>
      </c>
      <c r="K81" s="163">
        <v>11880570</v>
      </c>
      <c r="L81" s="166" t="s">
        <v>633</v>
      </c>
      <c r="M81" s="574"/>
    </row>
    <row r="82" spans="1:13" ht="17.25" customHeight="1" x14ac:dyDescent="0.2">
      <c r="A82" s="581" t="s">
        <v>632</v>
      </c>
      <c r="B82" s="581"/>
      <c r="C82" s="581"/>
      <c r="D82" s="581"/>
      <c r="E82" s="581"/>
      <c r="F82" s="581"/>
      <c r="G82" s="582" t="s">
        <v>633</v>
      </c>
      <c r="H82" s="582"/>
      <c r="I82" s="582"/>
      <c r="J82" s="582"/>
      <c r="K82" s="582"/>
      <c r="L82" s="582"/>
      <c r="M82" s="582"/>
    </row>
    <row r="83" spans="1:13" x14ac:dyDescent="0.2">
      <c r="A83" s="577"/>
      <c r="B83" s="577"/>
      <c r="C83" s="578" t="s">
        <v>1592</v>
      </c>
      <c r="D83" s="578"/>
      <c r="E83" s="578"/>
      <c r="F83" s="578"/>
      <c r="G83" s="578"/>
      <c r="H83" s="578"/>
      <c r="I83" s="578"/>
      <c r="J83" s="578"/>
      <c r="K83" s="578"/>
      <c r="L83" s="577"/>
      <c r="M83" s="577"/>
    </row>
    <row r="84" spans="1:13" ht="25" x14ac:dyDescent="0.2">
      <c r="A84" s="577"/>
      <c r="B84" s="577"/>
      <c r="C84" s="159" t="s">
        <v>632</v>
      </c>
      <c r="D84" s="159" t="s">
        <v>1593</v>
      </c>
      <c r="E84" s="159" t="s">
        <v>1594</v>
      </c>
      <c r="F84" s="159" t="s">
        <v>1595</v>
      </c>
      <c r="G84" s="159" t="s">
        <v>1596</v>
      </c>
      <c r="H84" s="159" t="s">
        <v>1597</v>
      </c>
      <c r="I84" s="159" t="s">
        <v>1598</v>
      </c>
      <c r="J84" s="159" t="s">
        <v>1599</v>
      </c>
      <c r="K84" s="159" t="s">
        <v>632</v>
      </c>
      <c r="L84" s="577"/>
      <c r="M84" s="577"/>
    </row>
    <row r="85" spans="1:13" ht="16" thickBot="1" x14ac:dyDescent="0.25">
      <c r="A85" s="160" t="s">
        <v>1676</v>
      </c>
      <c r="B85" s="165" t="s">
        <v>632</v>
      </c>
      <c r="C85" s="163">
        <v>28250624</v>
      </c>
      <c r="D85" s="167"/>
      <c r="E85" s="167"/>
      <c r="F85" s="167"/>
      <c r="G85" s="167"/>
      <c r="H85" s="167"/>
      <c r="I85" s="167"/>
      <c r="J85" s="167"/>
      <c r="K85" s="163">
        <v>28473684</v>
      </c>
      <c r="L85" s="166" t="s">
        <v>633</v>
      </c>
      <c r="M85" s="164"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baseColWidth="10" defaultColWidth="9.3984375" defaultRowHeight="15" x14ac:dyDescent="0.2"/>
  <cols>
    <col min="1" max="1" width="22.19921875" style="169" bestFit="1" customWidth="1" collapsed="1"/>
    <col min="2" max="2" width="42.59765625" style="169" bestFit="1" customWidth="1" collapsed="1"/>
    <col min="3" max="3" width="30" style="169" customWidth="1" collapsed="1"/>
    <col min="4" max="10" width="30" style="169" bestFit="1" customWidth="1" collapsed="1"/>
    <col min="11" max="11" width="30" style="169" customWidth="1" collapsed="1"/>
    <col min="12" max="13" width="42.59765625" style="169" bestFit="1" customWidth="1" collapsed="1"/>
    <col min="14" max="16384" width="9.3984375" style="169" collapsed="1"/>
  </cols>
  <sheetData>
    <row r="1" spans="1:13" ht="18" x14ac:dyDescent="0.2">
      <c r="A1" s="168" t="s">
        <v>1678</v>
      </c>
    </row>
    <row r="3" spans="1:13" ht="17.25" customHeight="1" x14ac:dyDescent="0.2">
      <c r="A3" s="593" t="s">
        <v>632</v>
      </c>
      <c r="B3" s="593"/>
      <c r="C3" s="593"/>
      <c r="D3" s="593"/>
      <c r="E3" s="593"/>
      <c r="F3" s="593"/>
      <c r="G3" s="594" t="s">
        <v>633</v>
      </c>
      <c r="H3" s="594"/>
      <c r="I3" s="594"/>
      <c r="J3" s="594"/>
      <c r="K3" s="594"/>
      <c r="L3" s="594"/>
      <c r="M3" s="594"/>
    </row>
    <row r="4" spans="1:13" x14ac:dyDescent="0.2">
      <c r="A4" s="591"/>
      <c r="B4" s="591"/>
      <c r="C4" s="592" t="s">
        <v>1592</v>
      </c>
      <c r="D4" s="592"/>
      <c r="E4" s="592"/>
      <c r="F4" s="592"/>
      <c r="G4" s="592"/>
      <c r="H4" s="592"/>
      <c r="I4" s="592"/>
      <c r="J4" s="592"/>
      <c r="K4" s="592"/>
      <c r="L4" s="591"/>
      <c r="M4" s="591"/>
    </row>
    <row r="5" spans="1:13" ht="25" x14ac:dyDescent="0.2">
      <c r="A5" s="591"/>
      <c r="B5" s="591"/>
      <c r="C5" s="170" t="s">
        <v>632</v>
      </c>
      <c r="D5" s="170" t="s">
        <v>1593</v>
      </c>
      <c r="E5" s="170" t="s">
        <v>1594</v>
      </c>
      <c r="F5" s="170" t="s">
        <v>1595</v>
      </c>
      <c r="G5" s="170" t="s">
        <v>1596</v>
      </c>
      <c r="H5" s="170" t="s">
        <v>1597</v>
      </c>
      <c r="I5" s="170" t="s">
        <v>1598</v>
      </c>
      <c r="J5" s="170" t="s">
        <v>1599</v>
      </c>
      <c r="K5" s="170" t="s">
        <v>632</v>
      </c>
      <c r="L5" s="591"/>
      <c r="M5" s="591"/>
    </row>
    <row r="6" spans="1:13" ht="16" thickBot="1" x14ac:dyDescent="0.25">
      <c r="A6" s="584" t="s">
        <v>1600</v>
      </c>
      <c r="B6" s="171" t="s">
        <v>1601</v>
      </c>
      <c r="C6" s="172">
        <v>15505840</v>
      </c>
      <c r="D6" s="172">
        <v>12033</v>
      </c>
      <c r="E6" s="173">
        <v>30266</v>
      </c>
      <c r="F6" s="172">
        <v>123096</v>
      </c>
      <c r="G6" s="172"/>
      <c r="H6" s="172"/>
      <c r="I6" s="172">
        <v>237667</v>
      </c>
      <c r="J6" s="173"/>
      <c r="K6" s="174">
        <v>15848370</v>
      </c>
      <c r="L6" s="175" t="s">
        <v>1602</v>
      </c>
      <c r="M6" s="587" t="s">
        <v>1603</v>
      </c>
    </row>
    <row r="7" spans="1:13" ht="29" thickBot="1" x14ac:dyDescent="0.25">
      <c r="A7" s="584"/>
      <c r="B7" s="171" t="s">
        <v>1604</v>
      </c>
      <c r="C7" s="172">
        <v>6616198</v>
      </c>
      <c r="D7" s="172">
        <v>49244</v>
      </c>
      <c r="E7" s="173">
        <v>25167</v>
      </c>
      <c r="F7" s="172">
        <v>1128351</v>
      </c>
      <c r="G7" s="172"/>
      <c r="H7" s="172"/>
      <c r="I7" s="172">
        <v>0</v>
      </c>
      <c r="J7" s="173"/>
      <c r="K7" s="174">
        <v>7768626</v>
      </c>
      <c r="L7" s="175" t="s">
        <v>1605</v>
      </c>
      <c r="M7" s="587"/>
    </row>
    <row r="8" spans="1:13" ht="16" thickBot="1" x14ac:dyDescent="0.25">
      <c r="A8" s="584"/>
      <c r="B8" s="171" t="s">
        <v>1606</v>
      </c>
      <c r="C8" s="172"/>
      <c r="D8" s="172"/>
      <c r="E8" s="173"/>
      <c r="F8" s="172"/>
      <c r="G8" s="172"/>
      <c r="H8" s="172"/>
      <c r="I8" s="172"/>
      <c r="J8" s="173"/>
      <c r="K8" s="174"/>
      <c r="L8" s="175" t="s">
        <v>1607</v>
      </c>
      <c r="M8" s="587"/>
    </row>
    <row r="9" spans="1:13" ht="16" thickBot="1" x14ac:dyDescent="0.25">
      <c r="A9" s="584"/>
      <c r="B9" s="171" t="s">
        <v>1608</v>
      </c>
      <c r="C9" s="172"/>
      <c r="D9" s="172"/>
      <c r="E9" s="173"/>
      <c r="F9" s="172"/>
      <c r="G9" s="172"/>
      <c r="H9" s="172"/>
      <c r="I9" s="172"/>
      <c r="J9" s="173"/>
      <c r="K9" s="174"/>
      <c r="L9" s="175" t="s">
        <v>1609</v>
      </c>
      <c r="M9" s="587"/>
    </row>
    <row r="10" spans="1:13" ht="16" thickBot="1" x14ac:dyDescent="0.25">
      <c r="A10" s="584"/>
      <c r="B10" s="171" t="s">
        <v>1610</v>
      </c>
      <c r="C10" s="172"/>
      <c r="D10" s="172"/>
      <c r="E10" s="173"/>
      <c r="F10" s="172"/>
      <c r="G10" s="172"/>
      <c r="H10" s="172"/>
      <c r="I10" s="172"/>
      <c r="J10" s="173"/>
      <c r="K10" s="174"/>
      <c r="L10" s="175" t="s">
        <v>1611</v>
      </c>
      <c r="M10" s="587"/>
    </row>
    <row r="11" spans="1:13" ht="29" thickBot="1" x14ac:dyDescent="0.25">
      <c r="A11" s="584"/>
      <c r="B11" s="171" t="s">
        <v>1612</v>
      </c>
      <c r="C11" s="172">
        <v>10248439</v>
      </c>
      <c r="D11" s="172">
        <v>2940835</v>
      </c>
      <c r="E11" s="173">
        <v>1670447</v>
      </c>
      <c r="F11" s="172">
        <v>0</v>
      </c>
      <c r="G11" s="172"/>
      <c r="H11" s="172"/>
      <c r="I11" s="172">
        <v>0</v>
      </c>
      <c r="J11" s="173"/>
      <c r="K11" s="174">
        <v>11518827</v>
      </c>
      <c r="L11" s="175" t="s">
        <v>1613</v>
      </c>
      <c r="M11" s="587"/>
    </row>
    <row r="12" spans="1:13" ht="16" thickBot="1" x14ac:dyDescent="0.25">
      <c r="A12" s="584"/>
      <c r="B12" s="171" t="s">
        <v>1614</v>
      </c>
      <c r="C12" s="172">
        <v>0</v>
      </c>
      <c r="D12" s="172">
        <v>0</v>
      </c>
      <c r="E12" s="173">
        <v>0</v>
      </c>
      <c r="F12" s="172">
        <v>0</v>
      </c>
      <c r="G12" s="172"/>
      <c r="H12" s="172"/>
      <c r="I12" s="172">
        <v>0</v>
      </c>
      <c r="J12" s="173"/>
      <c r="K12" s="174">
        <v>0</v>
      </c>
      <c r="L12" s="175" t="s">
        <v>1615</v>
      </c>
      <c r="M12" s="587"/>
    </row>
    <row r="13" spans="1:13" ht="16" thickBot="1" x14ac:dyDescent="0.25">
      <c r="A13" s="584"/>
      <c r="B13" s="171" t="s">
        <v>1616</v>
      </c>
      <c r="C13" s="172"/>
      <c r="D13" s="172"/>
      <c r="E13" s="173"/>
      <c r="F13" s="172"/>
      <c r="G13" s="172"/>
      <c r="H13" s="172"/>
      <c r="I13" s="172"/>
      <c r="J13" s="173"/>
      <c r="K13" s="174"/>
      <c r="L13" s="175" t="s">
        <v>1617</v>
      </c>
      <c r="M13" s="587"/>
    </row>
    <row r="14" spans="1:13" ht="16" thickBot="1" x14ac:dyDescent="0.25">
      <c r="A14" s="584"/>
      <c r="B14" s="171" t="s">
        <v>1618</v>
      </c>
      <c r="C14" s="172"/>
      <c r="D14" s="172"/>
      <c r="E14" s="173"/>
      <c r="F14" s="172"/>
      <c r="G14" s="172"/>
      <c r="H14" s="172"/>
      <c r="I14" s="172"/>
      <c r="J14" s="173"/>
      <c r="K14" s="174"/>
      <c r="L14" s="175" t="s">
        <v>1619</v>
      </c>
      <c r="M14" s="587"/>
    </row>
    <row r="15" spans="1:13" ht="16" thickBot="1" x14ac:dyDescent="0.25">
      <c r="A15" s="584"/>
      <c r="B15" s="171" t="s">
        <v>1620</v>
      </c>
      <c r="C15" s="172"/>
      <c r="D15" s="172"/>
      <c r="E15" s="173"/>
      <c r="F15" s="172"/>
      <c r="G15" s="172"/>
      <c r="H15" s="172"/>
      <c r="I15" s="172"/>
      <c r="J15" s="173"/>
      <c r="K15" s="174"/>
      <c r="L15" s="175" t="s">
        <v>1621</v>
      </c>
      <c r="M15" s="587"/>
    </row>
    <row r="16" spans="1:13" ht="16" thickBot="1" x14ac:dyDescent="0.25">
      <c r="A16" s="584"/>
      <c r="B16" s="171" t="s">
        <v>1622</v>
      </c>
      <c r="C16" s="172"/>
      <c r="D16" s="172"/>
      <c r="E16" s="173"/>
      <c r="F16" s="172"/>
      <c r="G16" s="172"/>
      <c r="H16" s="172"/>
      <c r="I16" s="172"/>
      <c r="J16" s="173"/>
      <c r="K16" s="174"/>
      <c r="L16" s="175" t="s">
        <v>1623</v>
      </c>
      <c r="M16" s="587"/>
    </row>
    <row r="17" spans="1:13" ht="29" thickBot="1" x14ac:dyDescent="0.25">
      <c r="A17" s="584"/>
      <c r="B17" s="171" t="s">
        <v>1624</v>
      </c>
      <c r="C17" s="172"/>
      <c r="D17" s="172"/>
      <c r="E17" s="173"/>
      <c r="F17" s="172"/>
      <c r="G17" s="172"/>
      <c r="H17" s="172"/>
      <c r="I17" s="172"/>
      <c r="J17" s="173"/>
      <c r="K17" s="174"/>
      <c r="L17" s="175" t="s">
        <v>1625</v>
      </c>
      <c r="M17" s="587"/>
    </row>
    <row r="18" spans="1:13" ht="16" thickBot="1" x14ac:dyDescent="0.25">
      <c r="A18" s="584"/>
      <c r="B18" s="171" t="s">
        <v>1626</v>
      </c>
      <c r="C18" s="172"/>
      <c r="D18" s="172"/>
      <c r="E18" s="173"/>
      <c r="F18" s="172"/>
      <c r="G18" s="172"/>
      <c r="H18" s="172"/>
      <c r="I18" s="172"/>
      <c r="J18" s="173"/>
      <c r="K18" s="174"/>
      <c r="L18" s="175" t="s">
        <v>1627</v>
      </c>
      <c r="M18" s="587"/>
    </row>
    <row r="19" spans="1:13" ht="16" thickBot="1" x14ac:dyDescent="0.25">
      <c r="A19" s="584"/>
      <c r="B19" s="171" t="s">
        <v>1628</v>
      </c>
      <c r="C19" s="172"/>
      <c r="D19" s="172"/>
      <c r="E19" s="173"/>
      <c r="F19" s="172"/>
      <c r="G19" s="172"/>
      <c r="H19" s="172"/>
      <c r="I19" s="172"/>
      <c r="J19" s="173"/>
      <c r="K19" s="174"/>
      <c r="L19" s="175" t="s">
        <v>1629</v>
      </c>
      <c r="M19" s="587"/>
    </row>
    <row r="20" spans="1:13" ht="16" thickBot="1" x14ac:dyDescent="0.25">
      <c r="A20" s="584"/>
      <c r="B20" s="176" t="s">
        <v>1630</v>
      </c>
      <c r="C20" s="174">
        <v>32370477</v>
      </c>
      <c r="D20" s="174">
        <v>3002112</v>
      </c>
      <c r="E20" s="173">
        <v>1725880</v>
      </c>
      <c r="F20" s="174">
        <v>1251447</v>
      </c>
      <c r="G20" s="174">
        <v>0</v>
      </c>
      <c r="H20" s="174">
        <v>0</v>
      </c>
      <c r="I20" s="174">
        <v>237667</v>
      </c>
      <c r="J20" s="173">
        <v>0</v>
      </c>
      <c r="K20" s="174">
        <v>35135823</v>
      </c>
      <c r="L20" s="177" t="s">
        <v>1631</v>
      </c>
      <c r="M20" s="587"/>
    </row>
    <row r="21" spans="1:13" ht="16" thickBot="1" x14ac:dyDescent="0.25">
      <c r="A21" s="584"/>
      <c r="B21" s="171" t="s">
        <v>1632</v>
      </c>
      <c r="C21" s="172">
        <v>1698558</v>
      </c>
      <c r="D21" s="172">
        <v>607444</v>
      </c>
      <c r="E21" s="173">
        <v>562282</v>
      </c>
      <c r="F21" s="172">
        <v>0</v>
      </c>
      <c r="G21" s="172"/>
      <c r="H21" s="172"/>
      <c r="I21" s="172">
        <v>0</v>
      </c>
      <c r="J21" s="173"/>
      <c r="K21" s="174">
        <v>1743720</v>
      </c>
      <c r="L21" s="175" t="s">
        <v>1633</v>
      </c>
      <c r="M21" s="587"/>
    </row>
    <row r="22" spans="1:13" ht="29" thickBot="1" x14ac:dyDescent="0.25">
      <c r="A22" s="584"/>
      <c r="B22" s="171" t="s">
        <v>1634</v>
      </c>
      <c r="C22" s="172"/>
      <c r="D22" s="172"/>
      <c r="E22" s="173"/>
      <c r="F22" s="172"/>
      <c r="G22" s="172"/>
      <c r="H22" s="172"/>
      <c r="I22" s="172"/>
      <c r="J22" s="173"/>
      <c r="K22" s="174"/>
      <c r="L22" s="175" t="s">
        <v>1635</v>
      </c>
      <c r="M22" s="587"/>
    </row>
    <row r="23" spans="1:13" ht="16" thickBot="1" x14ac:dyDescent="0.25">
      <c r="A23" s="584"/>
      <c r="B23" s="171" t="s">
        <v>1636</v>
      </c>
      <c r="C23" s="172"/>
      <c r="D23" s="172"/>
      <c r="E23" s="173"/>
      <c r="F23" s="172"/>
      <c r="G23" s="172"/>
      <c r="H23" s="172"/>
      <c r="I23" s="172"/>
      <c r="J23" s="173"/>
      <c r="K23" s="174"/>
      <c r="L23" s="175" t="s">
        <v>1637</v>
      </c>
      <c r="M23" s="587"/>
    </row>
    <row r="24" spans="1:13" ht="16" thickBot="1" x14ac:dyDescent="0.25">
      <c r="A24" s="584"/>
      <c r="B24" s="171" t="s">
        <v>1638</v>
      </c>
      <c r="C24" s="172"/>
      <c r="D24" s="172"/>
      <c r="E24" s="173"/>
      <c r="F24" s="172"/>
      <c r="G24" s="172"/>
      <c r="H24" s="172"/>
      <c r="I24" s="172"/>
      <c r="J24" s="173"/>
      <c r="K24" s="174"/>
      <c r="L24" s="175" t="s">
        <v>1639</v>
      </c>
      <c r="M24" s="587"/>
    </row>
    <row r="25" spans="1:13" ht="29" thickBot="1" x14ac:dyDescent="0.25">
      <c r="A25" s="584"/>
      <c r="B25" s="171" t="s">
        <v>1640</v>
      </c>
      <c r="C25" s="172">
        <v>18770</v>
      </c>
      <c r="D25" s="172">
        <v>0</v>
      </c>
      <c r="E25" s="173">
        <v>18770</v>
      </c>
      <c r="F25" s="172">
        <v>0</v>
      </c>
      <c r="G25" s="172"/>
      <c r="H25" s="172"/>
      <c r="I25" s="172">
        <v>0</v>
      </c>
      <c r="J25" s="173"/>
      <c r="K25" s="174">
        <v>0</v>
      </c>
      <c r="L25" s="175" t="s">
        <v>1641</v>
      </c>
      <c r="M25" s="587"/>
    </row>
    <row r="26" spans="1:13" ht="16" thickBot="1" x14ac:dyDescent="0.25">
      <c r="A26" s="584"/>
      <c r="B26" s="171" t="s">
        <v>1642</v>
      </c>
      <c r="C26" s="172">
        <v>9371</v>
      </c>
      <c r="D26" s="172">
        <v>0</v>
      </c>
      <c r="E26" s="173">
        <v>9371</v>
      </c>
      <c r="F26" s="172">
        <v>0</v>
      </c>
      <c r="G26" s="172"/>
      <c r="H26" s="172"/>
      <c r="I26" s="172">
        <v>0</v>
      </c>
      <c r="J26" s="173"/>
      <c r="K26" s="174">
        <v>0</v>
      </c>
      <c r="L26" s="175" t="s">
        <v>1643</v>
      </c>
      <c r="M26" s="587"/>
    </row>
    <row r="27" spans="1:13" ht="16" thickBot="1" x14ac:dyDescent="0.25">
      <c r="A27" s="584"/>
      <c r="B27" s="171" t="s">
        <v>1644</v>
      </c>
      <c r="C27" s="172"/>
      <c r="D27" s="172"/>
      <c r="E27" s="173"/>
      <c r="F27" s="172"/>
      <c r="G27" s="172"/>
      <c r="H27" s="172"/>
      <c r="I27" s="172"/>
      <c r="J27" s="173"/>
      <c r="K27" s="174"/>
      <c r="L27" s="175" t="s">
        <v>1645</v>
      </c>
      <c r="M27" s="587"/>
    </row>
    <row r="28" spans="1:13" ht="16" thickBot="1" x14ac:dyDescent="0.25">
      <c r="A28" s="584"/>
      <c r="B28" s="171" t="s">
        <v>1646</v>
      </c>
      <c r="C28" s="172"/>
      <c r="D28" s="172"/>
      <c r="E28" s="173"/>
      <c r="F28" s="172"/>
      <c r="G28" s="172"/>
      <c r="H28" s="172"/>
      <c r="I28" s="172"/>
      <c r="J28" s="173"/>
      <c r="K28" s="174"/>
      <c r="L28" s="175" t="s">
        <v>1647</v>
      </c>
      <c r="M28" s="587"/>
    </row>
    <row r="29" spans="1:13" ht="16" thickBot="1" x14ac:dyDescent="0.25">
      <c r="A29" s="584"/>
      <c r="B29" s="171" t="s">
        <v>1648</v>
      </c>
      <c r="C29" s="172"/>
      <c r="D29" s="172"/>
      <c r="E29" s="173"/>
      <c r="F29" s="172"/>
      <c r="G29" s="172"/>
      <c r="H29" s="172"/>
      <c r="I29" s="172"/>
      <c r="J29" s="173"/>
      <c r="K29" s="174"/>
      <c r="L29" s="175" t="s">
        <v>1649</v>
      </c>
      <c r="M29" s="587"/>
    </row>
    <row r="30" spans="1:13" ht="16" thickBot="1" x14ac:dyDescent="0.25">
      <c r="A30" s="584"/>
      <c r="B30" s="171" t="s">
        <v>1650</v>
      </c>
      <c r="C30" s="172"/>
      <c r="D30" s="172"/>
      <c r="E30" s="173"/>
      <c r="F30" s="172"/>
      <c r="G30" s="172"/>
      <c r="H30" s="172"/>
      <c r="I30" s="172"/>
      <c r="J30" s="173"/>
      <c r="K30" s="174"/>
      <c r="L30" s="175" t="s">
        <v>1651</v>
      </c>
      <c r="M30" s="587"/>
    </row>
    <row r="31" spans="1:13" ht="29" thickBot="1" x14ac:dyDescent="0.25">
      <c r="A31" s="584"/>
      <c r="B31" s="171" t="s">
        <v>1652</v>
      </c>
      <c r="C31" s="172"/>
      <c r="D31" s="172"/>
      <c r="E31" s="173"/>
      <c r="F31" s="172"/>
      <c r="G31" s="172"/>
      <c r="H31" s="172"/>
      <c r="I31" s="172"/>
      <c r="J31" s="173"/>
      <c r="K31" s="174"/>
      <c r="L31" s="175" t="s">
        <v>1653</v>
      </c>
      <c r="M31" s="587"/>
    </row>
    <row r="32" spans="1:13" ht="16" thickBot="1" x14ac:dyDescent="0.25">
      <c r="A32" s="584"/>
      <c r="B32" s="171" t="s">
        <v>1654</v>
      </c>
      <c r="C32" s="172"/>
      <c r="D32" s="172"/>
      <c r="E32" s="173"/>
      <c r="F32" s="172"/>
      <c r="G32" s="172"/>
      <c r="H32" s="172"/>
      <c r="I32" s="172"/>
      <c r="J32" s="173"/>
      <c r="K32" s="174"/>
      <c r="L32" s="175" t="s">
        <v>1655</v>
      </c>
      <c r="M32" s="587"/>
    </row>
    <row r="33" spans="1:13" ht="16" thickBot="1" x14ac:dyDescent="0.25">
      <c r="A33" s="584"/>
      <c r="B33" s="171" t="s">
        <v>1656</v>
      </c>
      <c r="C33" s="172">
        <v>107</v>
      </c>
      <c r="D33" s="172">
        <v>4</v>
      </c>
      <c r="E33" s="173">
        <v>8</v>
      </c>
      <c r="F33" s="172">
        <v>0</v>
      </c>
      <c r="G33" s="172"/>
      <c r="H33" s="172"/>
      <c r="I33" s="172">
        <v>0</v>
      </c>
      <c r="J33" s="173"/>
      <c r="K33" s="174">
        <v>103</v>
      </c>
      <c r="L33" s="175" t="s">
        <v>1657</v>
      </c>
      <c r="M33" s="587"/>
    </row>
    <row r="34" spans="1:13" ht="16" thickBot="1" x14ac:dyDescent="0.25">
      <c r="A34" s="584"/>
      <c r="B34" s="176" t="s">
        <v>634</v>
      </c>
      <c r="C34" s="174">
        <v>1726806</v>
      </c>
      <c r="D34" s="174">
        <v>607448</v>
      </c>
      <c r="E34" s="173">
        <v>590431</v>
      </c>
      <c r="F34" s="174">
        <v>0</v>
      </c>
      <c r="G34" s="174">
        <v>0</v>
      </c>
      <c r="H34" s="174">
        <v>0</v>
      </c>
      <c r="I34" s="174">
        <v>0</v>
      </c>
      <c r="J34" s="173">
        <v>0</v>
      </c>
      <c r="K34" s="174">
        <v>1743823</v>
      </c>
      <c r="L34" s="177" t="s">
        <v>635</v>
      </c>
      <c r="M34" s="587"/>
    </row>
    <row r="35" spans="1:13" ht="16" thickBot="1" x14ac:dyDescent="0.25">
      <c r="A35" s="584"/>
      <c r="B35" s="171" t="s">
        <v>1658</v>
      </c>
      <c r="C35" s="172"/>
      <c r="D35" s="172"/>
      <c r="E35" s="173"/>
      <c r="F35" s="172"/>
      <c r="G35" s="172"/>
      <c r="H35" s="172"/>
      <c r="I35" s="172"/>
      <c r="J35" s="173"/>
      <c r="K35" s="174"/>
      <c r="L35" s="175" t="s">
        <v>1659</v>
      </c>
      <c r="M35" s="587"/>
    </row>
    <row r="36" spans="1:13" ht="29" thickBot="1" x14ac:dyDescent="0.25">
      <c r="A36" s="584"/>
      <c r="B36" s="171" t="s">
        <v>1660</v>
      </c>
      <c r="C36" s="172"/>
      <c r="D36" s="172"/>
      <c r="E36" s="173"/>
      <c r="F36" s="172"/>
      <c r="G36" s="172"/>
      <c r="H36" s="172"/>
      <c r="I36" s="172"/>
      <c r="J36" s="173"/>
      <c r="K36" s="174"/>
      <c r="L36" s="175" t="s">
        <v>1661</v>
      </c>
      <c r="M36" s="587"/>
    </row>
    <row r="37" spans="1:13" ht="29" thickBot="1" x14ac:dyDescent="0.25">
      <c r="A37" s="584"/>
      <c r="B37" s="171" t="s">
        <v>1662</v>
      </c>
      <c r="C37" s="172"/>
      <c r="D37" s="172"/>
      <c r="E37" s="173"/>
      <c r="F37" s="172"/>
      <c r="G37" s="172"/>
      <c r="H37" s="172"/>
      <c r="I37" s="172"/>
      <c r="J37" s="173"/>
      <c r="K37" s="174"/>
      <c r="L37" s="175" t="s">
        <v>1663</v>
      </c>
      <c r="M37" s="587"/>
    </row>
    <row r="38" spans="1:13" ht="29" thickBot="1" x14ac:dyDescent="0.25">
      <c r="A38" s="584"/>
      <c r="B38" s="171" t="s">
        <v>1664</v>
      </c>
      <c r="C38" s="172"/>
      <c r="D38" s="172"/>
      <c r="E38" s="173"/>
      <c r="F38" s="172"/>
      <c r="G38" s="172"/>
      <c r="H38" s="172"/>
      <c r="I38" s="172"/>
      <c r="J38" s="173"/>
      <c r="K38" s="174"/>
      <c r="L38" s="175" t="s">
        <v>1665</v>
      </c>
      <c r="M38" s="587"/>
    </row>
    <row r="39" spans="1:13" ht="29" thickBot="1" x14ac:dyDescent="0.25">
      <c r="A39" s="584"/>
      <c r="B39" s="171" t="s">
        <v>1666</v>
      </c>
      <c r="C39" s="172"/>
      <c r="D39" s="172"/>
      <c r="E39" s="173"/>
      <c r="F39" s="172"/>
      <c r="G39" s="172"/>
      <c r="H39" s="172"/>
      <c r="I39" s="172"/>
      <c r="J39" s="173"/>
      <c r="K39" s="174"/>
      <c r="L39" s="175" t="s">
        <v>1667</v>
      </c>
      <c r="M39" s="587"/>
    </row>
    <row r="40" spans="1:13" ht="29" thickBot="1" x14ac:dyDescent="0.25">
      <c r="A40" s="584"/>
      <c r="B40" s="171" t="s">
        <v>1668</v>
      </c>
      <c r="C40" s="172"/>
      <c r="D40" s="172"/>
      <c r="E40" s="173"/>
      <c r="F40" s="172"/>
      <c r="G40" s="172"/>
      <c r="H40" s="172"/>
      <c r="I40" s="172"/>
      <c r="J40" s="173"/>
      <c r="K40" s="174"/>
      <c r="L40" s="175" t="s">
        <v>1669</v>
      </c>
      <c r="M40" s="587"/>
    </row>
    <row r="41" spans="1:13" ht="16" thickBot="1" x14ac:dyDescent="0.25">
      <c r="A41" s="584"/>
      <c r="B41" s="171" t="s">
        <v>1670</v>
      </c>
      <c r="C41" s="172">
        <v>2827584</v>
      </c>
      <c r="D41" s="172">
        <v>563619</v>
      </c>
      <c r="E41" s="173">
        <v>869072</v>
      </c>
      <c r="F41" s="172">
        <v>-1251447</v>
      </c>
      <c r="G41" s="172"/>
      <c r="H41" s="172"/>
      <c r="I41" s="172">
        <v>0</v>
      </c>
      <c r="J41" s="173"/>
      <c r="K41" s="174">
        <v>1270684</v>
      </c>
      <c r="L41" s="175" t="s">
        <v>1671</v>
      </c>
      <c r="M41" s="587"/>
    </row>
    <row r="42" spans="1:13" ht="16" thickBot="1" x14ac:dyDescent="0.25">
      <c r="A42" s="584"/>
      <c r="B42" s="176" t="s">
        <v>1672</v>
      </c>
      <c r="C42" s="174">
        <v>2827584</v>
      </c>
      <c r="D42" s="174">
        <v>563619</v>
      </c>
      <c r="E42" s="173">
        <v>869072</v>
      </c>
      <c r="F42" s="174">
        <v>-1251447</v>
      </c>
      <c r="G42" s="174">
        <v>0</v>
      </c>
      <c r="H42" s="174">
        <v>0</v>
      </c>
      <c r="I42" s="174">
        <v>0</v>
      </c>
      <c r="J42" s="173">
        <v>0</v>
      </c>
      <c r="K42" s="174">
        <v>1270684</v>
      </c>
      <c r="L42" s="177" t="s">
        <v>1673</v>
      </c>
      <c r="M42" s="587"/>
    </row>
    <row r="43" spans="1:13" ht="16" thickBot="1" x14ac:dyDescent="0.25">
      <c r="A43" s="585"/>
      <c r="B43" s="176" t="s">
        <v>632</v>
      </c>
      <c r="C43" s="174">
        <v>36924867</v>
      </c>
      <c r="D43" s="174">
        <v>4173179</v>
      </c>
      <c r="E43" s="173">
        <v>3185383</v>
      </c>
      <c r="F43" s="174">
        <v>0</v>
      </c>
      <c r="G43" s="174">
        <v>0</v>
      </c>
      <c r="H43" s="174">
        <v>0</v>
      </c>
      <c r="I43" s="174">
        <v>237667</v>
      </c>
      <c r="J43" s="173">
        <v>0</v>
      </c>
      <c r="K43" s="174">
        <v>38150330</v>
      </c>
      <c r="L43" s="177" t="s">
        <v>633</v>
      </c>
      <c r="M43" s="588"/>
    </row>
    <row r="44" spans="1:13" ht="16" thickBot="1" x14ac:dyDescent="0.25">
      <c r="A44" s="583" t="s">
        <v>1674</v>
      </c>
      <c r="B44" s="171" t="s">
        <v>1601</v>
      </c>
      <c r="C44" s="172"/>
      <c r="D44" s="172"/>
      <c r="E44" s="173"/>
      <c r="F44" s="172"/>
      <c r="G44" s="172"/>
      <c r="H44" s="172"/>
      <c r="I44" s="172"/>
      <c r="J44" s="173"/>
      <c r="K44" s="174"/>
      <c r="L44" s="175" t="s">
        <v>1602</v>
      </c>
      <c r="M44" s="586" t="s">
        <v>1675</v>
      </c>
    </row>
    <row r="45" spans="1:13" ht="29" thickBot="1" x14ac:dyDescent="0.25">
      <c r="A45" s="584"/>
      <c r="B45" s="171" t="s">
        <v>1604</v>
      </c>
      <c r="C45" s="172">
        <v>3004164</v>
      </c>
      <c r="D45" s="172">
        <v>310019</v>
      </c>
      <c r="E45" s="173">
        <v>19395</v>
      </c>
      <c r="F45" s="172">
        <v>0</v>
      </c>
      <c r="G45" s="172"/>
      <c r="H45" s="172"/>
      <c r="I45" s="172">
        <v>0</v>
      </c>
      <c r="J45" s="173"/>
      <c r="K45" s="174">
        <v>3294788</v>
      </c>
      <c r="L45" s="175" t="s">
        <v>1605</v>
      </c>
      <c r="M45" s="587"/>
    </row>
    <row r="46" spans="1:13" ht="16" thickBot="1" x14ac:dyDescent="0.25">
      <c r="A46" s="584"/>
      <c r="B46" s="171" t="s">
        <v>1606</v>
      </c>
      <c r="C46" s="172"/>
      <c r="D46" s="172"/>
      <c r="E46" s="173"/>
      <c r="F46" s="172"/>
      <c r="G46" s="172"/>
      <c r="H46" s="172"/>
      <c r="I46" s="172"/>
      <c r="J46" s="173"/>
      <c r="K46" s="174"/>
      <c r="L46" s="175" t="s">
        <v>1607</v>
      </c>
      <c r="M46" s="587"/>
    </row>
    <row r="47" spans="1:13" ht="16" thickBot="1" x14ac:dyDescent="0.25">
      <c r="A47" s="584"/>
      <c r="B47" s="171" t="s">
        <v>1608</v>
      </c>
      <c r="C47" s="172"/>
      <c r="D47" s="172"/>
      <c r="E47" s="173"/>
      <c r="F47" s="172"/>
      <c r="G47" s="172"/>
      <c r="H47" s="172"/>
      <c r="I47" s="172"/>
      <c r="J47" s="173"/>
      <c r="K47" s="174"/>
      <c r="L47" s="175" t="s">
        <v>1609</v>
      </c>
      <c r="M47" s="587"/>
    </row>
    <row r="48" spans="1:13" ht="16" thickBot="1" x14ac:dyDescent="0.25">
      <c r="A48" s="584"/>
      <c r="B48" s="171" t="s">
        <v>1610</v>
      </c>
      <c r="C48" s="172"/>
      <c r="D48" s="172"/>
      <c r="E48" s="173"/>
      <c r="F48" s="172"/>
      <c r="G48" s="172"/>
      <c r="H48" s="172"/>
      <c r="I48" s="172"/>
      <c r="J48" s="173"/>
      <c r="K48" s="174"/>
      <c r="L48" s="175" t="s">
        <v>1611</v>
      </c>
      <c r="M48" s="587"/>
    </row>
    <row r="49" spans="1:13" ht="29" thickBot="1" x14ac:dyDescent="0.25">
      <c r="A49" s="584"/>
      <c r="B49" s="171" t="s">
        <v>1612</v>
      </c>
      <c r="C49" s="172">
        <v>6226332</v>
      </c>
      <c r="D49" s="172">
        <v>1250634</v>
      </c>
      <c r="E49" s="173">
        <v>1662538</v>
      </c>
      <c r="F49" s="172">
        <v>0</v>
      </c>
      <c r="G49" s="172"/>
      <c r="H49" s="172"/>
      <c r="I49" s="172">
        <v>0</v>
      </c>
      <c r="J49" s="173"/>
      <c r="K49" s="174">
        <v>5814428</v>
      </c>
      <c r="L49" s="175" t="s">
        <v>1613</v>
      </c>
      <c r="M49" s="587"/>
    </row>
    <row r="50" spans="1:13" ht="16" thickBot="1" x14ac:dyDescent="0.25">
      <c r="A50" s="584"/>
      <c r="B50" s="171" t="s">
        <v>1614</v>
      </c>
      <c r="C50" s="172">
        <v>0</v>
      </c>
      <c r="D50" s="172">
        <v>0</v>
      </c>
      <c r="E50" s="173">
        <v>0</v>
      </c>
      <c r="F50" s="172">
        <v>0</v>
      </c>
      <c r="G50" s="172"/>
      <c r="H50" s="172"/>
      <c r="I50" s="172">
        <v>0</v>
      </c>
      <c r="J50" s="173"/>
      <c r="K50" s="174">
        <v>0</v>
      </c>
      <c r="L50" s="175" t="s">
        <v>1615</v>
      </c>
      <c r="M50" s="587"/>
    </row>
    <row r="51" spans="1:13" ht="16" thickBot="1" x14ac:dyDescent="0.25">
      <c r="A51" s="584"/>
      <c r="B51" s="171" t="s">
        <v>1616</v>
      </c>
      <c r="C51" s="172"/>
      <c r="D51" s="172"/>
      <c r="E51" s="173"/>
      <c r="F51" s="172"/>
      <c r="G51" s="172"/>
      <c r="H51" s="172"/>
      <c r="I51" s="172"/>
      <c r="J51" s="173"/>
      <c r="K51" s="174"/>
      <c r="L51" s="175" t="s">
        <v>1617</v>
      </c>
      <c r="M51" s="587"/>
    </row>
    <row r="52" spans="1:13" ht="16" thickBot="1" x14ac:dyDescent="0.25">
      <c r="A52" s="584"/>
      <c r="B52" s="171" t="s">
        <v>1618</v>
      </c>
      <c r="C52" s="172"/>
      <c r="D52" s="172"/>
      <c r="E52" s="173"/>
      <c r="F52" s="172"/>
      <c r="G52" s="172"/>
      <c r="H52" s="172"/>
      <c r="I52" s="172"/>
      <c r="J52" s="173"/>
      <c r="K52" s="174"/>
      <c r="L52" s="175" t="s">
        <v>1619</v>
      </c>
      <c r="M52" s="587"/>
    </row>
    <row r="53" spans="1:13" ht="16" thickBot="1" x14ac:dyDescent="0.25">
      <c r="A53" s="584"/>
      <c r="B53" s="171" t="s">
        <v>1620</v>
      </c>
      <c r="C53" s="172"/>
      <c r="D53" s="172"/>
      <c r="E53" s="173"/>
      <c r="F53" s="172"/>
      <c r="G53" s="172"/>
      <c r="H53" s="172"/>
      <c r="I53" s="172"/>
      <c r="J53" s="173"/>
      <c r="K53" s="174"/>
      <c r="L53" s="175" t="s">
        <v>1621</v>
      </c>
      <c r="M53" s="587"/>
    </row>
    <row r="54" spans="1:13" ht="16" thickBot="1" x14ac:dyDescent="0.25">
      <c r="A54" s="584"/>
      <c r="B54" s="171" t="s">
        <v>1622</v>
      </c>
      <c r="C54" s="172"/>
      <c r="D54" s="172"/>
      <c r="E54" s="173"/>
      <c r="F54" s="172"/>
      <c r="G54" s="172"/>
      <c r="H54" s="172"/>
      <c r="I54" s="172"/>
      <c r="J54" s="173"/>
      <c r="K54" s="174"/>
      <c r="L54" s="175" t="s">
        <v>1623</v>
      </c>
      <c r="M54" s="587"/>
    </row>
    <row r="55" spans="1:13" ht="29" thickBot="1" x14ac:dyDescent="0.25">
      <c r="A55" s="584"/>
      <c r="B55" s="171" t="s">
        <v>1624</v>
      </c>
      <c r="C55" s="172"/>
      <c r="D55" s="172"/>
      <c r="E55" s="173"/>
      <c r="F55" s="172"/>
      <c r="G55" s="172"/>
      <c r="H55" s="172"/>
      <c r="I55" s="172"/>
      <c r="J55" s="173"/>
      <c r="K55" s="174"/>
      <c r="L55" s="175" t="s">
        <v>1625</v>
      </c>
      <c r="M55" s="587"/>
    </row>
    <row r="56" spans="1:13" ht="16" thickBot="1" x14ac:dyDescent="0.25">
      <c r="A56" s="584"/>
      <c r="B56" s="171" t="s">
        <v>1626</v>
      </c>
      <c r="C56" s="172"/>
      <c r="D56" s="172"/>
      <c r="E56" s="173"/>
      <c r="F56" s="172"/>
      <c r="G56" s="172"/>
      <c r="H56" s="172"/>
      <c r="I56" s="172"/>
      <c r="J56" s="173"/>
      <c r="K56" s="174"/>
      <c r="L56" s="175" t="s">
        <v>1627</v>
      </c>
      <c r="M56" s="587"/>
    </row>
    <row r="57" spans="1:13" ht="16" thickBot="1" x14ac:dyDescent="0.25">
      <c r="A57" s="584"/>
      <c r="B57" s="171" t="s">
        <v>1628</v>
      </c>
      <c r="C57" s="172"/>
      <c r="D57" s="172"/>
      <c r="E57" s="173"/>
      <c r="F57" s="172"/>
      <c r="G57" s="172"/>
      <c r="H57" s="172"/>
      <c r="I57" s="172"/>
      <c r="J57" s="173"/>
      <c r="K57" s="174"/>
      <c r="L57" s="175" t="s">
        <v>1629</v>
      </c>
      <c r="M57" s="587"/>
    </row>
    <row r="58" spans="1:13" ht="16" thickBot="1" x14ac:dyDescent="0.25">
      <c r="A58" s="584"/>
      <c r="B58" s="176" t="s">
        <v>1630</v>
      </c>
      <c r="C58" s="174">
        <v>9230496</v>
      </c>
      <c r="D58" s="174">
        <v>1560653</v>
      </c>
      <c r="E58" s="173">
        <v>1681933</v>
      </c>
      <c r="F58" s="174">
        <v>0</v>
      </c>
      <c r="G58" s="174">
        <v>0</v>
      </c>
      <c r="H58" s="174">
        <v>0</v>
      </c>
      <c r="I58" s="174">
        <v>0</v>
      </c>
      <c r="J58" s="173">
        <v>0</v>
      </c>
      <c r="K58" s="174">
        <v>9109216</v>
      </c>
      <c r="L58" s="177" t="s">
        <v>1631</v>
      </c>
      <c r="M58" s="587"/>
    </row>
    <row r="59" spans="1:13" ht="16" thickBot="1" x14ac:dyDescent="0.25">
      <c r="A59" s="584"/>
      <c r="B59" s="171" t="s">
        <v>1632</v>
      </c>
      <c r="C59" s="172">
        <v>842043</v>
      </c>
      <c r="D59" s="172">
        <v>456713</v>
      </c>
      <c r="E59" s="173">
        <v>508303</v>
      </c>
      <c r="F59" s="172">
        <v>0</v>
      </c>
      <c r="G59" s="172"/>
      <c r="H59" s="172"/>
      <c r="I59" s="172">
        <v>0</v>
      </c>
      <c r="J59" s="173"/>
      <c r="K59" s="174">
        <v>790453</v>
      </c>
      <c r="L59" s="175" t="s">
        <v>1633</v>
      </c>
      <c r="M59" s="587"/>
    </row>
    <row r="60" spans="1:13" ht="29" thickBot="1" x14ac:dyDescent="0.25">
      <c r="A60" s="584"/>
      <c r="B60" s="171" t="s">
        <v>1634</v>
      </c>
      <c r="C60" s="172"/>
      <c r="D60" s="172"/>
      <c r="E60" s="173"/>
      <c r="F60" s="172"/>
      <c r="G60" s="172"/>
      <c r="H60" s="172"/>
      <c r="I60" s="172"/>
      <c r="J60" s="173"/>
      <c r="K60" s="174"/>
      <c r="L60" s="175" t="s">
        <v>1635</v>
      </c>
      <c r="M60" s="587"/>
    </row>
    <row r="61" spans="1:13" ht="16" thickBot="1" x14ac:dyDescent="0.25">
      <c r="A61" s="584"/>
      <c r="B61" s="171" t="s">
        <v>1636</v>
      </c>
      <c r="C61" s="172"/>
      <c r="D61" s="172"/>
      <c r="E61" s="173"/>
      <c r="F61" s="172"/>
      <c r="G61" s="172"/>
      <c r="H61" s="172"/>
      <c r="I61" s="172"/>
      <c r="J61" s="173"/>
      <c r="K61" s="174"/>
      <c r="L61" s="175" t="s">
        <v>1637</v>
      </c>
      <c r="M61" s="587"/>
    </row>
    <row r="62" spans="1:13" ht="16" thickBot="1" x14ac:dyDescent="0.25">
      <c r="A62" s="584"/>
      <c r="B62" s="171" t="s">
        <v>1638</v>
      </c>
      <c r="C62" s="172"/>
      <c r="D62" s="172"/>
      <c r="E62" s="173"/>
      <c r="F62" s="172"/>
      <c r="G62" s="172"/>
      <c r="H62" s="172"/>
      <c r="I62" s="172"/>
      <c r="J62" s="173"/>
      <c r="K62" s="174"/>
      <c r="L62" s="175" t="s">
        <v>1639</v>
      </c>
      <c r="M62" s="587"/>
    </row>
    <row r="63" spans="1:13" ht="29" thickBot="1" x14ac:dyDescent="0.25">
      <c r="A63" s="584"/>
      <c r="B63" s="171" t="s">
        <v>1640</v>
      </c>
      <c r="C63" s="172">
        <v>18410</v>
      </c>
      <c r="D63" s="172">
        <v>0</v>
      </c>
      <c r="E63" s="173">
        <v>18410</v>
      </c>
      <c r="F63" s="172">
        <v>0</v>
      </c>
      <c r="G63" s="172"/>
      <c r="H63" s="172"/>
      <c r="I63" s="172">
        <v>0</v>
      </c>
      <c r="J63" s="173"/>
      <c r="K63" s="174">
        <v>0</v>
      </c>
      <c r="L63" s="175" t="s">
        <v>1641</v>
      </c>
      <c r="M63" s="587"/>
    </row>
    <row r="64" spans="1:13" ht="16" thickBot="1" x14ac:dyDescent="0.25">
      <c r="A64" s="584"/>
      <c r="B64" s="171" t="s">
        <v>1642</v>
      </c>
      <c r="C64" s="172">
        <v>9161</v>
      </c>
      <c r="D64" s="172">
        <v>0</v>
      </c>
      <c r="E64" s="173">
        <v>9161</v>
      </c>
      <c r="F64" s="172">
        <v>0</v>
      </c>
      <c r="G64" s="172"/>
      <c r="H64" s="172"/>
      <c r="I64" s="172">
        <v>0</v>
      </c>
      <c r="J64" s="173"/>
      <c r="K64" s="174">
        <v>0</v>
      </c>
      <c r="L64" s="175" t="s">
        <v>1643</v>
      </c>
      <c r="M64" s="587"/>
    </row>
    <row r="65" spans="1:13" ht="16" thickBot="1" x14ac:dyDescent="0.25">
      <c r="A65" s="584"/>
      <c r="B65" s="171" t="s">
        <v>1644</v>
      </c>
      <c r="C65" s="172"/>
      <c r="D65" s="172"/>
      <c r="E65" s="173"/>
      <c r="F65" s="172"/>
      <c r="G65" s="172"/>
      <c r="H65" s="172"/>
      <c r="I65" s="172"/>
      <c r="J65" s="173"/>
      <c r="K65" s="174"/>
      <c r="L65" s="175" t="s">
        <v>1645</v>
      </c>
      <c r="M65" s="587"/>
    </row>
    <row r="66" spans="1:13" ht="16" thickBot="1" x14ac:dyDescent="0.25">
      <c r="A66" s="584"/>
      <c r="B66" s="171" t="s">
        <v>1646</v>
      </c>
      <c r="C66" s="172"/>
      <c r="D66" s="172"/>
      <c r="E66" s="173"/>
      <c r="F66" s="172"/>
      <c r="G66" s="172"/>
      <c r="H66" s="172"/>
      <c r="I66" s="172"/>
      <c r="J66" s="173"/>
      <c r="K66" s="174"/>
      <c r="L66" s="175" t="s">
        <v>1647</v>
      </c>
      <c r="M66" s="587"/>
    </row>
    <row r="67" spans="1:13" ht="16" thickBot="1" x14ac:dyDescent="0.25">
      <c r="A67" s="584"/>
      <c r="B67" s="171" t="s">
        <v>1648</v>
      </c>
      <c r="C67" s="172"/>
      <c r="D67" s="172"/>
      <c r="E67" s="173"/>
      <c r="F67" s="172"/>
      <c r="G67" s="172"/>
      <c r="H67" s="172"/>
      <c r="I67" s="172"/>
      <c r="J67" s="173"/>
      <c r="K67" s="174"/>
      <c r="L67" s="175" t="s">
        <v>1649</v>
      </c>
      <c r="M67" s="587"/>
    </row>
    <row r="68" spans="1:13" ht="16" thickBot="1" x14ac:dyDescent="0.25">
      <c r="A68" s="584"/>
      <c r="B68" s="171" t="s">
        <v>1650</v>
      </c>
      <c r="C68" s="172"/>
      <c r="D68" s="172"/>
      <c r="E68" s="173"/>
      <c r="F68" s="172"/>
      <c r="G68" s="172"/>
      <c r="H68" s="172"/>
      <c r="I68" s="172"/>
      <c r="J68" s="173"/>
      <c r="K68" s="174"/>
      <c r="L68" s="175" t="s">
        <v>1651</v>
      </c>
      <c r="M68" s="587"/>
    </row>
    <row r="69" spans="1:13" ht="29" thickBot="1" x14ac:dyDescent="0.25">
      <c r="A69" s="584"/>
      <c r="B69" s="171" t="s">
        <v>1652</v>
      </c>
      <c r="C69" s="172"/>
      <c r="D69" s="172"/>
      <c r="E69" s="173"/>
      <c r="F69" s="172"/>
      <c r="G69" s="172"/>
      <c r="H69" s="172"/>
      <c r="I69" s="172"/>
      <c r="J69" s="173"/>
      <c r="K69" s="174"/>
      <c r="L69" s="175" t="s">
        <v>1653</v>
      </c>
      <c r="M69" s="587"/>
    </row>
    <row r="70" spans="1:13" ht="16" thickBot="1" x14ac:dyDescent="0.25">
      <c r="A70" s="584"/>
      <c r="B70" s="171" t="s">
        <v>1654</v>
      </c>
      <c r="C70" s="172"/>
      <c r="D70" s="172"/>
      <c r="E70" s="173"/>
      <c r="F70" s="172"/>
      <c r="G70" s="172"/>
      <c r="H70" s="172"/>
      <c r="I70" s="172"/>
      <c r="J70" s="173"/>
      <c r="K70" s="174"/>
      <c r="L70" s="175" t="s">
        <v>1655</v>
      </c>
      <c r="M70" s="587"/>
    </row>
    <row r="71" spans="1:13" ht="16" thickBot="1" x14ac:dyDescent="0.25">
      <c r="A71" s="584"/>
      <c r="B71" s="171" t="s">
        <v>1656</v>
      </c>
      <c r="C71" s="172">
        <v>13</v>
      </c>
      <c r="D71" s="172">
        <v>32</v>
      </c>
      <c r="E71" s="173">
        <v>8</v>
      </c>
      <c r="F71" s="172">
        <v>0</v>
      </c>
      <c r="G71" s="172"/>
      <c r="H71" s="172"/>
      <c r="I71" s="172">
        <v>0</v>
      </c>
      <c r="J71" s="173"/>
      <c r="K71" s="174">
        <v>37</v>
      </c>
      <c r="L71" s="175" t="s">
        <v>1657</v>
      </c>
      <c r="M71" s="587"/>
    </row>
    <row r="72" spans="1:13" ht="16" thickBot="1" x14ac:dyDescent="0.25">
      <c r="A72" s="584"/>
      <c r="B72" s="176" t="s">
        <v>634</v>
      </c>
      <c r="C72" s="174">
        <v>869627</v>
      </c>
      <c r="D72" s="174">
        <v>456745</v>
      </c>
      <c r="E72" s="173">
        <v>535882</v>
      </c>
      <c r="F72" s="174">
        <v>0</v>
      </c>
      <c r="G72" s="174">
        <v>0</v>
      </c>
      <c r="H72" s="174">
        <v>0</v>
      </c>
      <c r="I72" s="174">
        <v>0</v>
      </c>
      <c r="J72" s="173">
        <v>0</v>
      </c>
      <c r="K72" s="174">
        <v>790490</v>
      </c>
      <c r="L72" s="177" t="s">
        <v>635</v>
      </c>
      <c r="M72" s="587"/>
    </row>
    <row r="73" spans="1:13" ht="16" thickBot="1" x14ac:dyDescent="0.25">
      <c r="A73" s="584"/>
      <c r="B73" s="171" t="s">
        <v>1658</v>
      </c>
      <c r="C73" s="172"/>
      <c r="D73" s="172"/>
      <c r="E73" s="173"/>
      <c r="F73" s="172"/>
      <c r="G73" s="172"/>
      <c r="H73" s="172"/>
      <c r="I73" s="172"/>
      <c r="J73" s="173"/>
      <c r="K73" s="174"/>
      <c r="L73" s="175" t="s">
        <v>1659</v>
      </c>
      <c r="M73" s="587"/>
    </row>
    <row r="74" spans="1:13" ht="29" thickBot="1" x14ac:dyDescent="0.25">
      <c r="A74" s="584"/>
      <c r="B74" s="171" t="s">
        <v>1660</v>
      </c>
      <c r="C74" s="172"/>
      <c r="D74" s="172"/>
      <c r="E74" s="173"/>
      <c r="F74" s="172"/>
      <c r="G74" s="172"/>
      <c r="H74" s="172"/>
      <c r="I74" s="172"/>
      <c r="J74" s="173"/>
      <c r="K74" s="174"/>
      <c r="L74" s="175" t="s">
        <v>1661</v>
      </c>
      <c r="M74" s="587"/>
    </row>
    <row r="75" spans="1:13" ht="29" thickBot="1" x14ac:dyDescent="0.25">
      <c r="A75" s="584"/>
      <c r="B75" s="171" t="s">
        <v>1662</v>
      </c>
      <c r="C75" s="172"/>
      <c r="D75" s="172"/>
      <c r="E75" s="173"/>
      <c r="F75" s="172"/>
      <c r="G75" s="172"/>
      <c r="H75" s="172"/>
      <c r="I75" s="172"/>
      <c r="J75" s="173"/>
      <c r="K75" s="174"/>
      <c r="L75" s="175" t="s">
        <v>1663</v>
      </c>
      <c r="M75" s="587"/>
    </row>
    <row r="76" spans="1:13" ht="29" thickBot="1" x14ac:dyDescent="0.25">
      <c r="A76" s="584"/>
      <c r="B76" s="171" t="s">
        <v>1664</v>
      </c>
      <c r="C76" s="172"/>
      <c r="D76" s="172"/>
      <c r="E76" s="173"/>
      <c r="F76" s="172"/>
      <c r="G76" s="172"/>
      <c r="H76" s="172"/>
      <c r="I76" s="172"/>
      <c r="J76" s="173"/>
      <c r="K76" s="174"/>
      <c r="L76" s="175" t="s">
        <v>1665</v>
      </c>
      <c r="M76" s="587"/>
    </row>
    <row r="77" spans="1:13" ht="29" thickBot="1" x14ac:dyDescent="0.25">
      <c r="A77" s="584"/>
      <c r="B77" s="171" t="s">
        <v>1666</v>
      </c>
      <c r="C77" s="172"/>
      <c r="D77" s="172"/>
      <c r="E77" s="173"/>
      <c r="F77" s="172"/>
      <c r="G77" s="172"/>
      <c r="H77" s="172"/>
      <c r="I77" s="172"/>
      <c r="J77" s="173"/>
      <c r="K77" s="174"/>
      <c r="L77" s="175" t="s">
        <v>1667</v>
      </c>
      <c r="M77" s="587"/>
    </row>
    <row r="78" spans="1:13" ht="29" thickBot="1" x14ac:dyDescent="0.25">
      <c r="A78" s="584"/>
      <c r="B78" s="171" t="s">
        <v>1668</v>
      </c>
      <c r="C78" s="172"/>
      <c r="D78" s="172"/>
      <c r="E78" s="173"/>
      <c r="F78" s="172"/>
      <c r="G78" s="172"/>
      <c r="H78" s="172"/>
      <c r="I78" s="172"/>
      <c r="J78" s="173"/>
      <c r="K78" s="174"/>
      <c r="L78" s="175" t="s">
        <v>1669</v>
      </c>
      <c r="M78" s="587"/>
    </row>
    <row r="79" spans="1:13" ht="16" thickBot="1" x14ac:dyDescent="0.25">
      <c r="A79" s="584"/>
      <c r="B79" s="171" t="s">
        <v>1670</v>
      </c>
      <c r="C79" s="172"/>
      <c r="D79" s="172"/>
      <c r="E79" s="173"/>
      <c r="F79" s="172"/>
      <c r="G79" s="172"/>
      <c r="H79" s="172"/>
      <c r="I79" s="172"/>
      <c r="J79" s="173"/>
      <c r="K79" s="174"/>
      <c r="L79" s="175" t="s">
        <v>1671</v>
      </c>
      <c r="M79" s="587"/>
    </row>
    <row r="80" spans="1:13" ht="16" thickBot="1" x14ac:dyDescent="0.25">
      <c r="A80" s="584"/>
      <c r="B80" s="176" t="s">
        <v>1672</v>
      </c>
      <c r="C80" s="174">
        <v>0</v>
      </c>
      <c r="D80" s="174">
        <v>0</v>
      </c>
      <c r="E80" s="173">
        <v>0</v>
      </c>
      <c r="F80" s="174">
        <v>0</v>
      </c>
      <c r="G80" s="174">
        <v>0</v>
      </c>
      <c r="H80" s="174">
        <v>0</v>
      </c>
      <c r="I80" s="174">
        <v>0</v>
      </c>
      <c r="J80" s="173">
        <v>0</v>
      </c>
      <c r="K80" s="174">
        <v>0</v>
      </c>
      <c r="L80" s="177" t="s">
        <v>1673</v>
      </c>
      <c r="M80" s="587"/>
    </row>
    <row r="81" spans="1:13" ht="16" thickBot="1" x14ac:dyDescent="0.25">
      <c r="A81" s="585"/>
      <c r="B81" s="176" t="s">
        <v>632</v>
      </c>
      <c r="C81" s="174">
        <v>10100123</v>
      </c>
      <c r="D81" s="174">
        <v>2017398</v>
      </c>
      <c r="E81" s="173">
        <v>2217815</v>
      </c>
      <c r="F81" s="174">
        <v>0</v>
      </c>
      <c r="G81" s="174">
        <v>0</v>
      </c>
      <c r="H81" s="174">
        <v>0</v>
      </c>
      <c r="I81" s="174">
        <v>0</v>
      </c>
      <c r="J81" s="173">
        <v>0</v>
      </c>
      <c r="K81" s="174">
        <v>9899706</v>
      </c>
      <c r="L81" s="177" t="s">
        <v>633</v>
      </c>
      <c r="M81" s="588"/>
    </row>
    <row r="82" spans="1:13" ht="17.25" customHeight="1" x14ac:dyDescent="0.2">
      <c r="A82" s="589" t="s">
        <v>632</v>
      </c>
      <c r="B82" s="589"/>
      <c r="C82" s="589"/>
      <c r="D82" s="589"/>
      <c r="E82" s="589"/>
      <c r="F82" s="589"/>
      <c r="G82" s="590" t="s">
        <v>633</v>
      </c>
      <c r="H82" s="590"/>
      <c r="I82" s="590"/>
      <c r="J82" s="590"/>
      <c r="K82" s="590"/>
      <c r="L82" s="590"/>
      <c r="M82" s="590"/>
    </row>
    <row r="83" spans="1:13" x14ac:dyDescent="0.2">
      <c r="A83" s="591"/>
      <c r="B83" s="591"/>
      <c r="C83" s="592" t="s">
        <v>1592</v>
      </c>
      <c r="D83" s="592"/>
      <c r="E83" s="592"/>
      <c r="F83" s="592"/>
      <c r="G83" s="592"/>
      <c r="H83" s="592"/>
      <c r="I83" s="592"/>
      <c r="J83" s="592"/>
      <c r="K83" s="592"/>
      <c r="L83" s="591"/>
      <c r="M83" s="591"/>
    </row>
    <row r="84" spans="1:13" ht="25" x14ac:dyDescent="0.2">
      <c r="A84" s="591"/>
      <c r="B84" s="591"/>
      <c r="C84" s="170" t="s">
        <v>632</v>
      </c>
      <c r="D84" s="170" t="s">
        <v>1593</v>
      </c>
      <c r="E84" s="170" t="s">
        <v>1594</v>
      </c>
      <c r="F84" s="170" t="s">
        <v>1595</v>
      </c>
      <c r="G84" s="170" t="s">
        <v>1596</v>
      </c>
      <c r="H84" s="170" t="s">
        <v>1597</v>
      </c>
      <c r="I84" s="170" t="s">
        <v>1598</v>
      </c>
      <c r="J84" s="170" t="s">
        <v>1599</v>
      </c>
      <c r="K84" s="170" t="s">
        <v>632</v>
      </c>
      <c r="L84" s="591"/>
      <c r="M84" s="591"/>
    </row>
    <row r="85" spans="1:13" ht="16" thickBot="1" x14ac:dyDescent="0.25">
      <c r="A85" s="171" t="s">
        <v>1676</v>
      </c>
      <c r="B85" s="176" t="s">
        <v>632</v>
      </c>
      <c r="C85" s="174">
        <v>26824744</v>
      </c>
      <c r="D85" s="178"/>
      <c r="E85" s="178"/>
      <c r="F85" s="178"/>
      <c r="G85" s="178"/>
      <c r="H85" s="178"/>
      <c r="I85" s="178"/>
      <c r="J85" s="178"/>
      <c r="K85" s="174">
        <v>28250624</v>
      </c>
      <c r="L85" s="177" t="s">
        <v>633</v>
      </c>
      <c r="M85" s="175"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baseColWidth="10" defaultColWidth="9.3984375" defaultRowHeight="15" x14ac:dyDescent="0.2"/>
  <cols>
    <col min="1" max="1" width="41" style="179" bestFit="1" customWidth="1" collapsed="1"/>
    <col min="2" max="2" width="33.3984375" style="179" customWidth="1" collapsed="1"/>
    <col min="3" max="3" width="42.59765625" style="179" bestFit="1" customWidth="1" collapsed="1"/>
    <col min="4" max="16384" width="9.3984375" style="179" collapsed="1"/>
  </cols>
  <sheetData>
    <row r="1" spans="1:3" ht="34.5" customHeight="1" x14ac:dyDescent="0.2">
      <c r="A1" s="595" t="s">
        <v>1679</v>
      </c>
      <c r="B1" s="596"/>
      <c r="C1" s="596"/>
    </row>
    <row r="3" spans="1:3" ht="17.25" customHeight="1" x14ac:dyDescent="0.2">
      <c r="A3" s="180" t="s">
        <v>1680</v>
      </c>
      <c r="B3" s="597" t="s">
        <v>1681</v>
      </c>
      <c r="C3" s="597"/>
    </row>
    <row r="4" spans="1:3" x14ac:dyDescent="0.2">
      <c r="A4" s="181"/>
      <c r="B4" s="182" t="s">
        <v>102</v>
      </c>
    </row>
    <row r="5" spans="1:3" ht="16" thickBot="1" x14ac:dyDescent="0.25">
      <c r="A5" s="183" t="s">
        <v>1680</v>
      </c>
      <c r="B5" s="184"/>
      <c r="C5" s="185" t="s">
        <v>1681</v>
      </c>
    </row>
    <row r="6" spans="1:3" ht="75" customHeight="1" thickBot="1" x14ac:dyDescent="0.25">
      <c r="A6" s="186" t="s">
        <v>1682</v>
      </c>
      <c r="B6" s="187" t="s">
        <v>2180</v>
      </c>
      <c r="C6" s="188"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baseColWidth="10" defaultColWidth="9.3984375" defaultRowHeight="15" x14ac:dyDescent="0.2"/>
  <cols>
    <col min="1" max="1" width="42.59765625" style="190" bestFit="1" customWidth="1" collapsed="1"/>
    <col min="2" max="2" width="26" style="190" customWidth="1" collapsed="1"/>
    <col min="3" max="3" width="34.3984375" style="190" bestFit="1" customWidth="1" collapsed="1"/>
    <col min="4" max="4" width="42.59765625" style="190" bestFit="1" customWidth="1" collapsed="1"/>
    <col min="5" max="5" width="29.19921875" style="190" bestFit="1" customWidth="1" collapsed="1"/>
    <col min="6" max="6" width="22.796875" style="190" bestFit="1" customWidth="1" collapsed="1"/>
    <col min="7" max="7" width="36" style="190" bestFit="1" customWidth="1" collapsed="1"/>
    <col min="8" max="8" width="42.59765625" style="190" bestFit="1" customWidth="1" collapsed="1"/>
    <col min="9" max="9" width="26" style="190" bestFit="1" customWidth="1" collapsed="1"/>
    <col min="10" max="10" width="34.3984375" style="190" bestFit="1" customWidth="1" collapsed="1"/>
    <col min="11" max="11" width="42.59765625" style="190" bestFit="1" customWidth="1" collapsed="1"/>
    <col min="12" max="12" width="29.19921875" style="190" bestFit="1" customWidth="1" collapsed="1"/>
    <col min="13" max="13" width="22.796875" style="190" bestFit="1" customWidth="1" collapsed="1"/>
    <col min="14" max="14" width="36" style="190" bestFit="1" customWidth="1" collapsed="1"/>
    <col min="15" max="16384" width="9.3984375" style="190" collapsed="1"/>
  </cols>
  <sheetData>
    <row r="1" spans="1:14" ht="18" x14ac:dyDescent="0.2">
      <c r="A1" s="189" t="s">
        <v>1684</v>
      </c>
    </row>
    <row r="3" spans="1:14" ht="17.25" customHeight="1" x14ac:dyDescent="0.2">
      <c r="A3" s="601" t="s">
        <v>17</v>
      </c>
      <c r="B3" s="601"/>
      <c r="C3" s="601"/>
      <c r="D3" s="601"/>
      <c r="E3" s="601"/>
      <c r="F3" s="601"/>
      <c r="G3" s="601"/>
      <c r="H3" s="602" t="s">
        <v>104</v>
      </c>
      <c r="I3" s="602"/>
      <c r="J3" s="602"/>
      <c r="K3" s="602"/>
      <c r="L3" s="602"/>
      <c r="M3" s="602"/>
      <c r="N3" s="602"/>
    </row>
    <row r="4" spans="1:14" ht="17.25" customHeight="1" x14ac:dyDescent="0.2">
      <c r="A4" s="601" t="s">
        <v>1685</v>
      </c>
      <c r="B4" s="601"/>
      <c r="C4" s="601"/>
      <c r="D4" s="602" t="s">
        <v>1686</v>
      </c>
      <c r="E4" s="602"/>
      <c r="F4" s="602"/>
      <c r="G4" s="602"/>
      <c r="H4" s="601" t="s">
        <v>1685</v>
      </c>
      <c r="I4" s="601"/>
      <c r="J4" s="601"/>
      <c r="K4" s="602" t="s">
        <v>1686</v>
      </c>
      <c r="L4" s="602"/>
      <c r="M4" s="602"/>
      <c r="N4" s="602"/>
    </row>
    <row r="5" spans="1:14" x14ac:dyDescent="0.2">
      <c r="A5" s="598"/>
      <c r="B5" s="598"/>
      <c r="C5" s="598"/>
      <c r="D5" s="191" t="s">
        <v>1687</v>
      </c>
      <c r="E5" s="598"/>
      <c r="F5" s="598"/>
      <c r="G5" s="598"/>
      <c r="H5" s="598"/>
      <c r="I5" s="598"/>
      <c r="J5" s="598"/>
      <c r="K5" s="191" t="s">
        <v>1687</v>
      </c>
      <c r="L5" s="598"/>
      <c r="M5" s="598"/>
      <c r="N5" s="598"/>
    </row>
    <row r="6" spans="1:14" x14ac:dyDescent="0.2">
      <c r="A6" s="598"/>
      <c r="B6" s="598"/>
      <c r="C6" s="598"/>
      <c r="D6" s="191" t="s">
        <v>1688</v>
      </c>
      <c r="E6" s="598"/>
      <c r="F6" s="598"/>
      <c r="G6" s="598"/>
      <c r="H6" s="598"/>
      <c r="I6" s="598"/>
      <c r="J6" s="598"/>
      <c r="K6" s="191" t="s">
        <v>1688</v>
      </c>
      <c r="L6" s="598"/>
      <c r="M6" s="598"/>
      <c r="N6" s="598"/>
    </row>
    <row r="7" spans="1:14" ht="16" thickBot="1" x14ac:dyDescent="0.25">
      <c r="A7" s="607" t="s">
        <v>1689</v>
      </c>
      <c r="B7" s="607" t="s">
        <v>1690</v>
      </c>
      <c r="C7" s="192" t="s">
        <v>1691</v>
      </c>
      <c r="D7" s="193"/>
      <c r="E7" s="194" t="s">
        <v>1691</v>
      </c>
      <c r="F7" s="604" t="s">
        <v>1692</v>
      </c>
      <c r="G7" s="604" t="s">
        <v>1693</v>
      </c>
      <c r="H7" s="607" t="s">
        <v>1689</v>
      </c>
      <c r="I7" s="607" t="s">
        <v>1690</v>
      </c>
      <c r="J7" s="192" t="s">
        <v>1691</v>
      </c>
      <c r="K7" s="193"/>
      <c r="L7" s="194" t="s">
        <v>1691</v>
      </c>
      <c r="M7" s="604" t="s">
        <v>1692</v>
      </c>
      <c r="N7" s="604" t="s">
        <v>1693</v>
      </c>
    </row>
    <row r="8" spans="1:14" ht="16" thickBot="1" x14ac:dyDescent="0.25">
      <c r="A8" s="607"/>
      <c r="B8" s="607"/>
      <c r="C8" s="192" t="s">
        <v>1694</v>
      </c>
      <c r="D8" s="193"/>
      <c r="E8" s="194" t="s">
        <v>1695</v>
      </c>
      <c r="F8" s="604"/>
      <c r="G8" s="604"/>
      <c r="H8" s="607"/>
      <c r="I8" s="607"/>
      <c r="J8" s="192" t="s">
        <v>1694</v>
      </c>
      <c r="K8" s="193"/>
      <c r="L8" s="194" t="s">
        <v>1695</v>
      </c>
      <c r="M8" s="604"/>
      <c r="N8" s="604"/>
    </row>
    <row r="9" spans="1:14" ht="16" thickBot="1" x14ac:dyDescent="0.25">
      <c r="A9" s="607"/>
      <c r="B9" s="608"/>
      <c r="C9" s="195" t="s">
        <v>1696</v>
      </c>
      <c r="D9" s="196"/>
      <c r="E9" s="197" t="s">
        <v>1697</v>
      </c>
      <c r="F9" s="605"/>
      <c r="G9" s="604"/>
      <c r="H9" s="607"/>
      <c r="I9" s="608"/>
      <c r="J9" s="195" t="s">
        <v>1696</v>
      </c>
      <c r="K9" s="196"/>
      <c r="L9" s="197" t="s">
        <v>1697</v>
      </c>
      <c r="M9" s="605"/>
      <c r="N9" s="604"/>
    </row>
    <row r="10" spans="1:14" ht="16" thickBot="1" x14ac:dyDescent="0.25">
      <c r="A10" s="607"/>
      <c r="B10" s="606" t="s">
        <v>1698</v>
      </c>
      <c r="C10" s="192" t="s">
        <v>1691</v>
      </c>
      <c r="D10" s="193"/>
      <c r="E10" s="194" t="s">
        <v>1691</v>
      </c>
      <c r="F10" s="603" t="s">
        <v>1699</v>
      </c>
      <c r="G10" s="604"/>
      <c r="H10" s="607"/>
      <c r="I10" s="606" t="s">
        <v>1698</v>
      </c>
      <c r="J10" s="192" t="s">
        <v>1691</v>
      </c>
      <c r="K10" s="193"/>
      <c r="L10" s="194" t="s">
        <v>1691</v>
      </c>
      <c r="M10" s="603" t="s">
        <v>1699</v>
      </c>
      <c r="N10" s="604"/>
    </row>
    <row r="11" spans="1:14" ht="16" thickBot="1" x14ac:dyDescent="0.25">
      <c r="A11" s="607"/>
      <c r="B11" s="607"/>
      <c r="C11" s="192" t="s">
        <v>1694</v>
      </c>
      <c r="D11" s="193"/>
      <c r="E11" s="194" t="s">
        <v>1695</v>
      </c>
      <c r="F11" s="604"/>
      <c r="G11" s="604"/>
      <c r="H11" s="607"/>
      <c r="I11" s="607"/>
      <c r="J11" s="192" t="s">
        <v>1694</v>
      </c>
      <c r="K11" s="193"/>
      <c r="L11" s="194" t="s">
        <v>1695</v>
      </c>
      <c r="M11" s="604"/>
      <c r="N11" s="604"/>
    </row>
    <row r="12" spans="1:14" ht="16" thickBot="1" x14ac:dyDescent="0.25">
      <c r="A12" s="608"/>
      <c r="B12" s="608"/>
      <c r="C12" s="195" t="s">
        <v>1696</v>
      </c>
      <c r="D12" s="196"/>
      <c r="E12" s="197" t="s">
        <v>1697</v>
      </c>
      <c r="F12" s="605"/>
      <c r="G12" s="605"/>
      <c r="H12" s="608"/>
      <c r="I12" s="608"/>
      <c r="J12" s="195" t="s">
        <v>1696</v>
      </c>
      <c r="K12" s="196"/>
      <c r="L12" s="197" t="s">
        <v>1697</v>
      </c>
      <c r="M12" s="605"/>
      <c r="N12" s="605"/>
    </row>
    <row r="13" spans="1:14" ht="16" thickBot="1" x14ac:dyDescent="0.25">
      <c r="A13" s="606" t="s">
        <v>1700</v>
      </c>
      <c r="B13" s="606" t="s">
        <v>1690</v>
      </c>
      <c r="C13" s="192" t="s">
        <v>1691</v>
      </c>
      <c r="D13" s="193"/>
      <c r="E13" s="194" t="s">
        <v>1691</v>
      </c>
      <c r="F13" s="603" t="s">
        <v>1692</v>
      </c>
      <c r="G13" s="603" t="s">
        <v>1701</v>
      </c>
      <c r="H13" s="606" t="s">
        <v>1700</v>
      </c>
      <c r="I13" s="606" t="s">
        <v>1690</v>
      </c>
      <c r="J13" s="192" t="s">
        <v>1691</v>
      </c>
      <c r="K13" s="193"/>
      <c r="L13" s="194" t="s">
        <v>1691</v>
      </c>
      <c r="M13" s="603" t="s">
        <v>1692</v>
      </c>
      <c r="N13" s="603" t="s">
        <v>1701</v>
      </c>
    </row>
    <row r="14" spans="1:14" ht="16" thickBot="1" x14ac:dyDescent="0.25">
      <c r="A14" s="607"/>
      <c r="B14" s="607"/>
      <c r="C14" s="192" t="s">
        <v>1694</v>
      </c>
      <c r="D14" s="193"/>
      <c r="E14" s="194" t="s">
        <v>1695</v>
      </c>
      <c r="F14" s="604"/>
      <c r="G14" s="604"/>
      <c r="H14" s="607"/>
      <c r="I14" s="607"/>
      <c r="J14" s="192" t="s">
        <v>1694</v>
      </c>
      <c r="K14" s="193"/>
      <c r="L14" s="194" t="s">
        <v>1695</v>
      </c>
      <c r="M14" s="604"/>
      <c r="N14" s="604"/>
    </row>
    <row r="15" spans="1:14" ht="16" thickBot="1" x14ac:dyDescent="0.25">
      <c r="A15" s="607"/>
      <c r="B15" s="608"/>
      <c r="C15" s="195" t="s">
        <v>1696</v>
      </c>
      <c r="D15" s="196"/>
      <c r="E15" s="197" t="s">
        <v>1697</v>
      </c>
      <c r="F15" s="605"/>
      <c r="G15" s="604"/>
      <c r="H15" s="607"/>
      <c r="I15" s="608"/>
      <c r="J15" s="195" t="s">
        <v>1696</v>
      </c>
      <c r="K15" s="196"/>
      <c r="L15" s="197" t="s">
        <v>1697</v>
      </c>
      <c r="M15" s="605"/>
      <c r="N15" s="604"/>
    </row>
    <row r="16" spans="1:14" ht="16" thickBot="1" x14ac:dyDescent="0.25">
      <c r="A16" s="607"/>
      <c r="B16" s="606" t="s">
        <v>1698</v>
      </c>
      <c r="C16" s="192" t="s">
        <v>1691</v>
      </c>
      <c r="D16" s="193"/>
      <c r="E16" s="194" t="s">
        <v>1691</v>
      </c>
      <c r="F16" s="603" t="s">
        <v>1699</v>
      </c>
      <c r="G16" s="604"/>
      <c r="H16" s="607"/>
      <c r="I16" s="606" t="s">
        <v>1698</v>
      </c>
      <c r="J16" s="192" t="s">
        <v>1691</v>
      </c>
      <c r="K16" s="193"/>
      <c r="L16" s="194" t="s">
        <v>1691</v>
      </c>
      <c r="M16" s="603" t="s">
        <v>1699</v>
      </c>
      <c r="N16" s="604"/>
    </row>
    <row r="17" spans="1:14" ht="16" thickBot="1" x14ac:dyDescent="0.25">
      <c r="A17" s="607"/>
      <c r="B17" s="607"/>
      <c r="C17" s="192" t="s">
        <v>1694</v>
      </c>
      <c r="D17" s="193"/>
      <c r="E17" s="194" t="s">
        <v>1695</v>
      </c>
      <c r="F17" s="604"/>
      <c r="G17" s="604"/>
      <c r="H17" s="607"/>
      <c r="I17" s="607"/>
      <c r="J17" s="192" t="s">
        <v>1694</v>
      </c>
      <c r="K17" s="193"/>
      <c r="L17" s="194" t="s">
        <v>1695</v>
      </c>
      <c r="M17" s="604"/>
      <c r="N17" s="604"/>
    </row>
    <row r="18" spans="1:14" ht="16" thickBot="1" x14ac:dyDescent="0.25">
      <c r="A18" s="608"/>
      <c r="B18" s="608"/>
      <c r="C18" s="195" t="s">
        <v>1696</v>
      </c>
      <c r="D18" s="196"/>
      <c r="E18" s="197" t="s">
        <v>1697</v>
      </c>
      <c r="F18" s="605"/>
      <c r="G18" s="605"/>
      <c r="H18" s="608"/>
      <c r="I18" s="608"/>
      <c r="J18" s="195" t="s">
        <v>1696</v>
      </c>
      <c r="K18" s="196"/>
      <c r="L18" s="197" t="s">
        <v>1697</v>
      </c>
      <c r="M18" s="605"/>
      <c r="N18" s="605"/>
    </row>
    <row r="19" spans="1:14" ht="17.25" customHeight="1" x14ac:dyDescent="0.2">
      <c r="A19" s="599" t="s">
        <v>17</v>
      </c>
      <c r="B19" s="599"/>
      <c r="C19" s="599"/>
      <c r="D19" s="599"/>
      <c r="E19" s="599"/>
      <c r="F19" s="599"/>
      <c r="G19" s="599"/>
      <c r="H19" s="600" t="s">
        <v>104</v>
      </c>
      <c r="I19" s="600"/>
      <c r="J19" s="600"/>
      <c r="K19" s="600"/>
      <c r="L19" s="600"/>
      <c r="M19" s="600"/>
      <c r="N19" s="600"/>
    </row>
    <row r="20" spans="1:14" ht="17.25" customHeight="1" x14ac:dyDescent="0.2">
      <c r="A20" s="601" t="s">
        <v>1685</v>
      </c>
      <c r="B20" s="601"/>
      <c r="C20" s="601"/>
      <c r="D20" s="602" t="s">
        <v>1686</v>
      </c>
      <c r="E20" s="602"/>
      <c r="F20" s="602"/>
      <c r="G20" s="602"/>
      <c r="H20" s="601" t="s">
        <v>1685</v>
      </c>
      <c r="I20" s="601"/>
      <c r="J20" s="601"/>
      <c r="K20" s="602" t="s">
        <v>1686</v>
      </c>
      <c r="L20" s="602"/>
      <c r="M20" s="602"/>
      <c r="N20" s="602"/>
    </row>
    <row r="21" spans="1:14" x14ac:dyDescent="0.2">
      <c r="A21" s="598"/>
      <c r="B21" s="598"/>
      <c r="C21" s="598"/>
      <c r="D21" s="191" t="s">
        <v>1687</v>
      </c>
      <c r="E21" s="598"/>
      <c r="F21" s="598"/>
      <c r="G21" s="598"/>
      <c r="H21" s="598"/>
      <c r="I21" s="598"/>
      <c r="J21" s="598"/>
      <c r="K21" s="191" t="s">
        <v>1687</v>
      </c>
      <c r="L21" s="598"/>
      <c r="M21" s="598"/>
      <c r="N21" s="598"/>
    </row>
    <row r="22" spans="1:14" x14ac:dyDescent="0.2">
      <c r="A22" s="598"/>
      <c r="B22" s="598"/>
      <c r="C22" s="598"/>
      <c r="D22" s="191" t="s">
        <v>1688</v>
      </c>
      <c r="E22" s="598"/>
      <c r="F22" s="598"/>
      <c r="G22" s="598"/>
      <c r="H22" s="598"/>
      <c r="I22" s="598"/>
      <c r="J22" s="598"/>
      <c r="K22" s="191" t="s">
        <v>1688</v>
      </c>
      <c r="L22" s="598"/>
      <c r="M22" s="598"/>
      <c r="N22" s="598"/>
    </row>
    <row r="23" spans="1:14" ht="16" thickBot="1" x14ac:dyDescent="0.25">
      <c r="A23" s="192" t="s">
        <v>1689</v>
      </c>
      <c r="B23" s="192" t="s">
        <v>1702</v>
      </c>
      <c r="C23" s="195" t="s">
        <v>1696</v>
      </c>
      <c r="D23" s="196"/>
      <c r="E23" s="197" t="s">
        <v>1697</v>
      </c>
      <c r="F23" s="194" t="s">
        <v>1703</v>
      </c>
      <c r="G23" s="194" t="s">
        <v>1693</v>
      </c>
      <c r="H23" s="192" t="s">
        <v>1689</v>
      </c>
      <c r="I23" s="192" t="s">
        <v>1702</v>
      </c>
      <c r="J23" s="195" t="s">
        <v>1696</v>
      </c>
      <c r="K23" s="196"/>
      <c r="L23" s="197" t="s">
        <v>1697</v>
      </c>
      <c r="M23" s="194" t="s">
        <v>1703</v>
      </c>
      <c r="N23" s="194" t="s">
        <v>1693</v>
      </c>
    </row>
    <row r="24" spans="1:14" ht="16" thickBot="1" x14ac:dyDescent="0.25">
      <c r="A24" s="192" t="s">
        <v>1700</v>
      </c>
      <c r="B24" s="192" t="s">
        <v>1702</v>
      </c>
      <c r="C24" s="195" t="s">
        <v>1696</v>
      </c>
      <c r="D24" s="196"/>
      <c r="E24" s="197" t="s">
        <v>1697</v>
      </c>
      <c r="F24" s="194" t="s">
        <v>1703</v>
      </c>
      <c r="G24" s="194" t="s">
        <v>1701</v>
      </c>
      <c r="H24" s="192" t="s">
        <v>1700</v>
      </c>
      <c r="I24" s="192" t="s">
        <v>1702</v>
      </c>
      <c r="J24" s="195" t="s">
        <v>1696</v>
      </c>
      <c r="K24" s="196"/>
      <c r="L24" s="197" t="s">
        <v>1697</v>
      </c>
      <c r="M24" s="194" t="s">
        <v>1703</v>
      </c>
      <c r="N24" s="194" t="s">
        <v>1701</v>
      </c>
    </row>
    <row r="25" spans="1:14" ht="16" thickBot="1" x14ac:dyDescent="0.25">
      <c r="A25" s="192" t="s">
        <v>1704</v>
      </c>
      <c r="B25" s="192" t="s">
        <v>1702</v>
      </c>
      <c r="C25" s="195" t="s">
        <v>1696</v>
      </c>
      <c r="D25" s="196"/>
      <c r="E25" s="197" t="s">
        <v>1697</v>
      </c>
      <c r="F25" s="194" t="s">
        <v>1703</v>
      </c>
      <c r="G25" s="194" t="s">
        <v>1705</v>
      </c>
      <c r="H25" s="192" t="s">
        <v>1704</v>
      </c>
      <c r="I25" s="192" t="s">
        <v>1702</v>
      </c>
      <c r="J25" s="195" t="s">
        <v>1696</v>
      </c>
      <c r="K25" s="196"/>
      <c r="L25" s="197" t="s">
        <v>1697</v>
      </c>
      <c r="M25" s="194" t="s">
        <v>1703</v>
      </c>
      <c r="N25" s="194" t="s">
        <v>1705</v>
      </c>
    </row>
    <row r="26" spans="1:14" ht="34.5" customHeight="1" x14ac:dyDescent="0.2">
      <c r="A26" s="599" t="s">
        <v>1687</v>
      </c>
      <c r="B26" s="599"/>
      <c r="C26" s="600" t="s">
        <v>1706</v>
      </c>
      <c r="D26" s="600"/>
    </row>
    <row r="27" spans="1:14" x14ac:dyDescent="0.2">
      <c r="A27" s="198"/>
      <c r="B27" s="191" t="s">
        <v>17</v>
      </c>
      <c r="C27" s="191" t="s">
        <v>104</v>
      </c>
    </row>
    <row r="28" spans="1:14" ht="29" thickBot="1" x14ac:dyDescent="0.25">
      <c r="A28" s="195" t="s">
        <v>1687</v>
      </c>
      <c r="B28" s="199"/>
      <c r="C28" s="199"/>
      <c r="D28" s="197" t="s">
        <v>1706</v>
      </c>
    </row>
    <row r="29" spans="1:14" ht="16" thickBot="1" x14ac:dyDescent="0.25">
      <c r="A29" s="200" t="s">
        <v>1688</v>
      </c>
      <c r="B29" s="196"/>
      <c r="C29" s="196"/>
      <c r="D29" s="197" t="s">
        <v>1707</v>
      </c>
    </row>
    <row r="30" spans="1:14" ht="29" thickBot="1" x14ac:dyDescent="0.25">
      <c r="A30" s="201" t="s">
        <v>493</v>
      </c>
      <c r="B30" s="202"/>
      <c r="C30" s="202"/>
      <c r="D30" s="194" t="s">
        <v>494</v>
      </c>
    </row>
    <row r="31" spans="1:14" ht="16" thickBot="1" x14ac:dyDescent="0.25">
      <c r="A31" s="200" t="s">
        <v>1708</v>
      </c>
      <c r="B31" s="196"/>
      <c r="C31" s="196"/>
      <c r="D31" s="197" t="s">
        <v>1709</v>
      </c>
    </row>
  </sheetData>
  <sheetProtection password="83AF" sheet="1" objects="1" scenarios="1"/>
  <mergeCells count="46">
    <mergeCell ref="A3:G3"/>
    <mergeCell ref="H3:N3"/>
    <mergeCell ref="A4:C4"/>
    <mergeCell ref="D4:G4"/>
    <mergeCell ref="H4:J4"/>
    <mergeCell ref="K4:N4"/>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13:A18"/>
    <mergeCell ref="B13:B15"/>
    <mergeCell ref="F13:F15"/>
    <mergeCell ref="G13:G18"/>
    <mergeCell ref="H13:H18"/>
    <mergeCell ref="M13:M15"/>
    <mergeCell ref="N13:N18"/>
    <mergeCell ref="B16:B18"/>
    <mergeCell ref="F16:F18"/>
    <mergeCell ref="I16:I18"/>
    <mergeCell ref="M16:M18"/>
    <mergeCell ref="I13:I15"/>
    <mergeCell ref="A19:G19"/>
    <mergeCell ref="H19:N19"/>
    <mergeCell ref="A20:C20"/>
    <mergeCell ref="D20:G20"/>
    <mergeCell ref="H20:J20"/>
    <mergeCell ref="K20:N20"/>
    <mergeCell ref="A21:C22"/>
    <mergeCell ref="E21:G22"/>
    <mergeCell ref="H21:J22"/>
    <mergeCell ref="L21:N22"/>
    <mergeCell ref="A26:B26"/>
    <mergeCell ref="C26:D26"/>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baseColWidth="10" defaultColWidth="9.3984375" defaultRowHeight="15" x14ac:dyDescent="0.2"/>
  <cols>
    <col min="1" max="1" width="42.59765625" style="204" bestFit="1" customWidth="1" collapsed="1"/>
    <col min="2" max="2" width="34.3984375" style="204" customWidth="1" collapsed="1"/>
    <col min="3" max="4" width="42.59765625" style="204" bestFit="1" customWidth="1" collapsed="1"/>
    <col min="5" max="5" width="22.796875" style="204" bestFit="1" customWidth="1" collapsed="1"/>
    <col min="6" max="6" width="26" style="204" customWidth="1" collapsed="1"/>
    <col min="7" max="7" width="34.3984375" style="204" customWidth="1" collapsed="1"/>
    <col min="8" max="8" width="42.59765625" style="204" bestFit="1" customWidth="1" collapsed="1"/>
    <col min="9" max="9" width="26.3984375" style="204" bestFit="1" customWidth="1" collapsed="1"/>
    <col min="10" max="10" width="22.796875" style="204" bestFit="1" customWidth="1" collapsed="1"/>
    <col min="11" max="16384" width="9.3984375" style="204" collapsed="1"/>
  </cols>
  <sheetData>
    <row r="1" spans="1:10" ht="18" x14ac:dyDescent="0.2">
      <c r="A1" s="203" t="s">
        <v>1710</v>
      </c>
    </row>
    <row r="3" spans="1:10" ht="17.25" customHeight="1" x14ac:dyDescent="0.2">
      <c r="A3" s="609" t="s">
        <v>17</v>
      </c>
      <c r="B3" s="609"/>
      <c r="C3" s="609"/>
      <c r="D3" s="609"/>
      <c r="E3" s="609"/>
      <c r="F3" s="610" t="s">
        <v>104</v>
      </c>
      <c r="G3" s="610"/>
      <c r="H3" s="610"/>
      <c r="I3" s="610"/>
      <c r="J3" s="610"/>
    </row>
    <row r="4" spans="1:10" ht="34.5" customHeight="1" x14ac:dyDescent="0.2">
      <c r="A4" s="609" t="s">
        <v>1711</v>
      </c>
      <c r="B4" s="609"/>
      <c r="C4" s="610" t="s">
        <v>1712</v>
      </c>
      <c r="D4" s="610"/>
      <c r="E4" s="610"/>
      <c r="F4" s="609" t="s">
        <v>1711</v>
      </c>
      <c r="G4" s="609"/>
      <c r="H4" s="610" t="s">
        <v>1712</v>
      </c>
      <c r="I4" s="610"/>
      <c r="J4" s="610"/>
    </row>
    <row r="5" spans="1:10" ht="25" x14ac:dyDescent="0.2">
      <c r="A5" s="611"/>
      <c r="B5" s="611"/>
      <c r="C5" s="205" t="s">
        <v>1713</v>
      </c>
      <c r="D5" s="611"/>
      <c r="E5" s="611"/>
      <c r="F5" s="611"/>
      <c r="G5" s="611"/>
      <c r="H5" s="205" t="s">
        <v>1713</v>
      </c>
      <c r="I5" s="611"/>
      <c r="J5" s="611"/>
    </row>
    <row r="6" spans="1:10" x14ac:dyDescent="0.2">
      <c r="A6" s="611"/>
      <c r="B6" s="611"/>
      <c r="C6" s="205" t="s">
        <v>1714</v>
      </c>
      <c r="D6" s="611"/>
      <c r="E6" s="611"/>
      <c r="F6" s="611"/>
      <c r="G6" s="611"/>
      <c r="H6" s="205" t="s">
        <v>1714</v>
      </c>
      <c r="I6" s="611"/>
      <c r="J6" s="611"/>
    </row>
    <row r="7" spans="1:10" ht="16" thickBot="1" x14ac:dyDescent="0.25">
      <c r="A7" s="612" t="s">
        <v>1690</v>
      </c>
      <c r="B7" s="206" t="s">
        <v>1691</v>
      </c>
      <c r="C7" s="207"/>
      <c r="D7" s="208" t="s">
        <v>1691</v>
      </c>
      <c r="E7" s="614" t="s">
        <v>1692</v>
      </c>
      <c r="F7" s="612" t="s">
        <v>1690</v>
      </c>
      <c r="G7" s="206" t="s">
        <v>1691</v>
      </c>
      <c r="H7" s="207"/>
      <c r="I7" s="208" t="s">
        <v>1691</v>
      </c>
      <c r="J7" s="614" t="s">
        <v>1692</v>
      </c>
    </row>
    <row r="8" spans="1:10" ht="16" thickBot="1" x14ac:dyDescent="0.25">
      <c r="A8" s="612"/>
      <c r="B8" s="206" t="s">
        <v>1694</v>
      </c>
      <c r="C8" s="207"/>
      <c r="D8" s="208" t="s">
        <v>1695</v>
      </c>
      <c r="E8" s="614"/>
      <c r="F8" s="612"/>
      <c r="G8" s="206" t="s">
        <v>1694</v>
      </c>
      <c r="H8" s="207"/>
      <c r="I8" s="208" t="s">
        <v>1695</v>
      </c>
      <c r="J8" s="614"/>
    </row>
    <row r="9" spans="1:10" ht="16" thickBot="1" x14ac:dyDescent="0.25">
      <c r="A9" s="613"/>
      <c r="B9" s="209" t="s">
        <v>1696</v>
      </c>
      <c r="C9" s="210"/>
      <c r="D9" s="208" t="s">
        <v>1697</v>
      </c>
      <c r="E9" s="615"/>
      <c r="F9" s="613"/>
      <c r="G9" s="209" t="s">
        <v>1696</v>
      </c>
      <c r="H9" s="210"/>
      <c r="I9" s="208" t="s">
        <v>1697</v>
      </c>
      <c r="J9" s="615"/>
    </row>
    <row r="10" spans="1:10" ht="16" thickBot="1" x14ac:dyDescent="0.25">
      <c r="A10" s="616" t="s">
        <v>1698</v>
      </c>
      <c r="B10" s="206" t="s">
        <v>1691</v>
      </c>
      <c r="C10" s="207"/>
      <c r="D10" s="208" t="s">
        <v>1691</v>
      </c>
      <c r="E10" s="617" t="s">
        <v>1699</v>
      </c>
      <c r="F10" s="616" t="s">
        <v>1698</v>
      </c>
      <c r="G10" s="206" t="s">
        <v>1691</v>
      </c>
      <c r="H10" s="207"/>
      <c r="I10" s="208" t="s">
        <v>1691</v>
      </c>
      <c r="J10" s="617" t="s">
        <v>1699</v>
      </c>
    </row>
    <row r="11" spans="1:10" ht="16" thickBot="1" x14ac:dyDescent="0.25">
      <c r="A11" s="612"/>
      <c r="B11" s="206" t="s">
        <v>1694</v>
      </c>
      <c r="C11" s="207"/>
      <c r="D11" s="208" t="s">
        <v>1695</v>
      </c>
      <c r="E11" s="614"/>
      <c r="F11" s="612"/>
      <c r="G11" s="206" t="s">
        <v>1694</v>
      </c>
      <c r="H11" s="207"/>
      <c r="I11" s="208" t="s">
        <v>1695</v>
      </c>
      <c r="J11" s="614"/>
    </row>
    <row r="12" spans="1:10" ht="16" thickBot="1" x14ac:dyDescent="0.25">
      <c r="A12" s="613"/>
      <c r="B12" s="209" t="s">
        <v>1696</v>
      </c>
      <c r="C12" s="210"/>
      <c r="D12" s="208" t="s">
        <v>1697</v>
      </c>
      <c r="E12" s="615"/>
      <c r="F12" s="613"/>
      <c r="G12" s="209" t="s">
        <v>1696</v>
      </c>
      <c r="H12" s="210"/>
      <c r="I12" s="208" t="s">
        <v>1697</v>
      </c>
      <c r="J12" s="615"/>
    </row>
    <row r="13" spans="1:10" ht="17.25" customHeight="1" x14ac:dyDescent="0.2">
      <c r="A13" s="618" t="s">
        <v>17</v>
      </c>
      <c r="B13" s="618"/>
      <c r="C13" s="618"/>
      <c r="D13" s="618"/>
      <c r="E13" s="618"/>
      <c r="F13" s="619" t="s">
        <v>104</v>
      </c>
      <c r="G13" s="619"/>
      <c r="H13" s="619"/>
      <c r="I13" s="619"/>
      <c r="J13" s="619"/>
    </row>
    <row r="14" spans="1:10" ht="34.5" customHeight="1" x14ac:dyDescent="0.2">
      <c r="A14" s="609" t="s">
        <v>1711</v>
      </c>
      <c r="B14" s="609"/>
      <c r="C14" s="610" t="s">
        <v>1712</v>
      </c>
      <c r="D14" s="610"/>
      <c r="E14" s="610"/>
      <c r="F14" s="609" t="s">
        <v>1711</v>
      </c>
      <c r="G14" s="609"/>
      <c r="H14" s="610" t="s">
        <v>1712</v>
      </c>
      <c r="I14" s="610"/>
      <c r="J14" s="610"/>
    </row>
    <row r="15" spans="1:10" ht="25" x14ac:dyDescent="0.2">
      <c r="A15" s="611"/>
      <c r="B15" s="611"/>
      <c r="C15" s="205" t="s">
        <v>1713</v>
      </c>
      <c r="D15" s="611"/>
      <c r="E15" s="611"/>
      <c r="F15" s="611"/>
      <c r="G15" s="611"/>
      <c r="H15" s="205" t="s">
        <v>1713</v>
      </c>
      <c r="I15" s="611"/>
      <c r="J15" s="611"/>
    </row>
    <row r="16" spans="1:10" x14ac:dyDescent="0.2">
      <c r="A16" s="611"/>
      <c r="B16" s="611"/>
      <c r="C16" s="205" t="s">
        <v>1714</v>
      </c>
      <c r="D16" s="611"/>
      <c r="E16" s="611"/>
      <c r="F16" s="611"/>
      <c r="G16" s="611"/>
      <c r="H16" s="205" t="s">
        <v>1714</v>
      </c>
      <c r="I16" s="611"/>
      <c r="J16" s="611"/>
    </row>
    <row r="17" spans="1:10" ht="16" thickBot="1" x14ac:dyDescent="0.25">
      <c r="A17" s="206" t="s">
        <v>1702</v>
      </c>
      <c r="B17" s="209" t="s">
        <v>1696</v>
      </c>
      <c r="C17" s="210"/>
      <c r="D17" s="208" t="s">
        <v>1697</v>
      </c>
      <c r="E17" s="208" t="s">
        <v>1703</v>
      </c>
      <c r="F17" s="206" t="s">
        <v>1702</v>
      </c>
      <c r="G17" s="209" t="s">
        <v>1696</v>
      </c>
      <c r="H17" s="210"/>
      <c r="I17" s="208" t="s">
        <v>1697</v>
      </c>
      <c r="J17" s="208" t="s">
        <v>1703</v>
      </c>
    </row>
    <row r="18" spans="1:10" ht="34.5" customHeight="1" x14ac:dyDescent="0.2">
      <c r="A18" s="618" t="s">
        <v>1713</v>
      </c>
      <c r="B18" s="618"/>
      <c r="C18" s="619" t="s">
        <v>1715</v>
      </c>
      <c r="D18" s="619"/>
    </row>
    <row r="19" spans="1:10" x14ac:dyDescent="0.2">
      <c r="A19" s="211"/>
      <c r="B19" s="205" t="s">
        <v>17</v>
      </c>
      <c r="C19" s="205" t="s">
        <v>104</v>
      </c>
    </row>
    <row r="20" spans="1:10" ht="29" thickBot="1" x14ac:dyDescent="0.25">
      <c r="A20" s="209" t="s">
        <v>1713</v>
      </c>
      <c r="B20" s="212"/>
      <c r="C20" s="212"/>
      <c r="D20" s="213" t="s">
        <v>1715</v>
      </c>
    </row>
    <row r="21" spans="1:10" ht="16" thickBot="1" x14ac:dyDescent="0.25">
      <c r="A21" s="214" t="s">
        <v>1714</v>
      </c>
      <c r="B21" s="210"/>
      <c r="C21" s="210"/>
      <c r="D21" s="213" t="s">
        <v>1716</v>
      </c>
    </row>
    <row r="22" spans="1:10" ht="29" thickBot="1" x14ac:dyDescent="0.25">
      <c r="A22" s="215" t="s">
        <v>511</v>
      </c>
      <c r="B22" s="216"/>
      <c r="C22" s="216"/>
      <c r="D22" s="208" t="s">
        <v>512</v>
      </c>
    </row>
    <row r="23" spans="1:10" ht="29" thickBot="1" x14ac:dyDescent="0.25">
      <c r="A23" s="215" t="s">
        <v>519</v>
      </c>
      <c r="B23" s="216"/>
      <c r="C23" s="216"/>
      <c r="D23" s="208" t="s">
        <v>520</v>
      </c>
    </row>
    <row r="24" spans="1:10" ht="29" thickBot="1" x14ac:dyDescent="0.25">
      <c r="A24" s="215" t="s">
        <v>527</v>
      </c>
      <c r="B24" s="216"/>
      <c r="C24" s="216"/>
      <c r="D24" s="208" t="s">
        <v>528</v>
      </c>
    </row>
    <row r="25" spans="1:10" ht="29" thickBot="1" x14ac:dyDescent="0.25">
      <c r="A25" s="215" t="s">
        <v>543</v>
      </c>
      <c r="B25" s="216"/>
      <c r="C25" s="216"/>
      <c r="D25" s="208" t="s">
        <v>544</v>
      </c>
    </row>
    <row r="26" spans="1:10" ht="29" thickBot="1" x14ac:dyDescent="0.25">
      <c r="A26" s="215" t="s">
        <v>551</v>
      </c>
      <c r="B26" s="216"/>
      <c r="C26" s="216"/>
      <c r="D26" s="208" t="s">
        <v>552</v>
      </c>
    </row>
    <row r="27" spans="1:10" ht="29" thickBot="1" x14ac:dyDescent="0.25">
      <c r="A27" s="215" t="s">
        <v>559</v>
      </c>
      <c r="B27" s="216"/>
      <c r="C27" s="216"/>
      <c r="D27" s="208" t="s">
        <v>560</v>
      </c>
    </row>
    <row r="28" spans="1:10" ht="16" thickBot="1" x14ac:dyDescent="0.25">
      <c r="A28" s="214" t="s">
        <v>1717</v>
      </c>
      <c r="B28" s="210"/>
      <c r="C28" s="210"/>
      <c r="D28" s="213" t="s">
        <v>1718</v>
      </c>
    </row>
  </sheetData>
  <sheetProtection password="83AF" sheet="1" objects="1" scenarios="1"/>
  <mergeCells count="30">
    <mergeCell ref="A18:B18"/>
    <mergeCell ref="C18:D18"/>
    <mergeCell ref="A14:B14"/>
    <mergeCell ref="C14:E14"/>
    <mergeCell ref="F14:G14"/>
    <mergeCell ref="H14:J14"/>
    <mergeCell ref="A15:B16"/>
    <mergeCell ref="D15:E16"/>
    <mergeCell ref="F15:G16"/>
    <mergeCell ref="I15:J16"/>
    <mergeCell ref="A10:A12"/>
    <mergeCell ref="E10:E12"/>
    <mergeCell ref="F10:F12"/>
    <mergeCell ref="J10:J12"/>
    <mergeCell ref="A13:E13"/>
    <mergeCell ref="F13:J13"/>
    <mergeCell ref="A5:B6"/>
    <mergeCell ref="D5:E6"/>
    <mergeCell ref="F5:G6"/>
    <mergeCell ref="I5:J6"/>
    <mergeCell ref="A7:A9"/>
    <mergeCell ref="E7:E9"/>
    <mergeCell ref="F7:F9"/>
    <mergeCell ref="J7:J9"/>
    <mergeCell ref="A3:E3"/>
    <mergeCell ref="F3:J3"/>
    <mergeCell ref="A4:B4"/>
    <mergeCell ref="C4:E4"/>
    <mergeCell ref="F4:G4"/>
    <mergeCell ref="H4:J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baseColWidth="10" defaultColWidth="9.3984375" defaultRowHeight="15" x14ac:dyDescent="0.2"/>
  <cols>
    <col min="1" max="1" width="22.19921875" style="218" bestFit="1" customWidth="1" collapsed="1"/>
    <col min="2" max="2" width="35" style="218" bestFit="1" customWidth="1" collapsed="1"/>
    <col min="3" max="11" width="30" style="218" bestFit="1" customWidth="1" collapsed="1"/>
    <col min="12" max="13" width="42.59765625" style="218" bestFit="1" customWidth="1" collapsed="1"/>
    <col min="14" max="16384" width="9.3984375" style="218" collapsed="1"/>
  </cols>
  <sheetData>
    <row r="1" spans="1:13" ht="18" x14ac:dyDescent="0.2">
      <c r="A1" s="217" t="s">
        <v>1719</v>
      </c>
    </row>
    <row r="3" spans="1:13" ht="17.25" customHeight="1" x14ac:dyDescent="0.2">
      <c r="A3" s="630" t="s">
        <v>634</v>
      </c>
      <c r="B3" s="630"/>
      <c r="C3" s="630"/>
      <c r="D3" s="630"/>
      <c r="E3" s="630"/>
      <c r="F3" s="630"/>
      <c r="G3" s="631" t="s">
        <v>635</v>
      </c>
      <c r="H3" s="631"/>
      <c r="I3" s="631"/>
      <c r="J3" s="631"/>
      <c r="K3" s="631"/>
      <c r="L3" s="631"/>
      <c r="M3" s="631"/>
    </row>
    <row r="4" spans="1:13" x14ac:dyDescent="0.2">
      <c r="A4" s="628"/>
      <c r="B4" s="628"/>
      <c r="C4" s="629" t="s">
        <v>1720</v>
      </c>
      <c r="D4" s="629"/>
      <c r="E4" s="629"/>
      <c r="F4" s="629"/>
      <c r="G4" s="629"/>
      <c r="H4" s="629"/>
      <c r="I4" s="629"/>
      <c r="J4" s="629"/>
      <c r="K4" s="629"/>
      <c r="L4" s="628"/>
      <c r="M4" s="628"/>
    </row>
    <row r="5" spans="1:13" ht="25" x14ac:dyDescent="0.2">
      <c r="A5" s="628"/>
      <c r="B5" s="628"/>
      <c r="C5" s="219" t="s">
        <v>634</v>
      </c>
      <c r="D5" s="219" t="s">
        <v>1721</v>
      </c>
      <c r="E5" s="219" t="s">
        <v>1722</v>
      </c>
      <c r="F5" s="219" t="s">
        <v>1723</v>
      </c>
      <c r="G5" s="219" t="s">
        <v>1724</v>
      </c>
      <c r="H5" s="219" t="s">
        <v>1725</v>
      </c>
      <c r="I5" s="219" t="s">
        <v>1726</v>
      </c>
      <c r="J5" s="219" t="s">
        <v>1727</v>
      </c>
      <c r="K5" s="219" t="s">
        <v>634</v>
      </c>
      <c r="L5" s="628"/>
      <c r="M5" s="628"/>
    </row>
    <row r="6" spans="1:13" ht="16" thickBot="1" x14ac:dyDescent="0.25">
      <c r="A6" s="621" t="s">
        <v>1600</v>
      </c>
      <c r="B6" s="220" t="s">
        <v>1632</v>
      </c>
      <c r="C6" s="221"/>
      <c r="D6" s="221"/>
      <c r="E6" s="222"/>
      <c r="F6" s="221"/>
      <c r="G6" s="221"/>
      <c r="H6" s="221"/>
      <c r="I6" s="221"/>
      <c r="J6" s="222"/>
      <c r="K6" s="223"/>
      <c r="L6" s="224" t="s">
        <v>1633</v>
      </c>
      <c r="M6" s="624" t="s">
        <v>1603</v>
      </c>
    </row>
    <row r="7" spans="1:13" ht="29" thickBot="1" x14ac:dyDescent="0.25">
      <c r="A7" s="621"/>
      <c r="B7" s="220" t="s">
        <v>1634</v>
      </c>
      <c r="C7" s="221"/>
      <c r="D7" s="221"/>
      <c r="E7" s="222"/>
      <c r="F7" s="221"/>
      <c r="G7" s="221"/>
      <c r="H7" s="221"/>
      <c r="I7" s="221"/>
      <c r="J7" s="222"/>
      <c r="K7" s="223"/>
      <c r="L7" s="224" t="s">
        <v>1635</v>
      </c>
      <c r="M7" s="624"/>
    </row>
    <row r="8" spans="1:13" ht="16" thickBot="1" x14ac:dyDescent="0.25">
      <c r="A8" s="621"/>
      <c r="B8" s="220" t="s">
        <v>1636</v>
      </c>
      <c r="C8" s="221"/>
      <c r="D8" s="221"/>
      <c r="E8" s="222"/>
      <c r="F8" s="221"/>
      <c r="G8" s="221"/>
      <c r="H8" s="221"/>
      <c r="I8" s="221"/>
      <c r="J8" s="222"/>
      <c r="K8" s="223"/>
      <c r="L8" s="224" t="s">
        <v>1637</v>
      </c>
      <c r="M8" s="624"/>
    </row>
    <row r="9" spans="1:13" ht="16" thickBot="1" x14ac:dyDescent="0.25">
      <c r="A9" s="621"/>
      <c r="B9" s="220" t="s">
        <v>1638</v>
      </c>
      <c r="C9" s="221"/>
      <c r="D9" s="221"/>
      <c r="E9" s="222"/>
      <c r="F9" s="221"/>
      <c r="G9" s="221"/>
      <c r="H9" s="221"/>
      <c r="I9" s="221"/>
      <c r="J9" s="222"/>
      <c r="K9" s="223"/>
      <c r="L9" s="224" t="s">
        <v>1639</v>
      </c>
      <c r="M9" s="624"/>
    </row>
    <row r="10" spans="1:13" ht="16" thickBot="1" x14ac:dyDescent="0.25">
      <c r="A10" s="621"/>
      <c r="B10" s="220" t="s">
        <v>1644</v>
      </c>
      <c r="C10" s="221"/>
      <c r="D10" s="221"/>
      <c r="E10" s="222"/>
      <c r="F10" s="221"/>
      <c r="G10" s="221"/>
      <c r="H10" s="221"/>
      <c r="I10" s="221"/>
      <c r="J10" s="222"/>
      <c r="K10" s="223"/>
      <c r="L10" s="224" t="s">
        <v>1645</v>
      </c>
      <c r="M10" s="624"/>
    </row>
    <row r="11" spans="1:13" ht="16" thickBot="1" x14ac:dyDescent="0.25">
      <c r="A11" s="621"/>
      <c r="B11" s="220" t="s">
        <v>1646</v>
      </c>
      <c r="C11" s="221"/>
      <c r="D11" s="221"/>
      <c r="E11" s="222"/>
      <c r="F11" s="221"/>
      <c r="G11" s="221"/>
      <c r="H11" s="221"/>
      <c r="I11" s="221"/>
      <c r="J11" s="222"/>
      <c r="K11" s="223"/>
      <c r="L11" s="224" t="s">
        <v>1647</v>
      </c>
      <c r="M11" s="624"/>
    </row>
    <row r="12" spans="1:13" ht="16" thickBot="1" x14ac:dyDescent="0.25">
      <c r="A12" s="621"/>
      <c r="B12" s="220" t="s">
        <v>1656</v>
      </c>
      <c r="C12" s="221"/>
      <c r="D12" s="221"/>
      <c r="E12" s="222"/>
      <c r="F12" s="221"/>
      <c r="G12" s="221"/>
      <c r="H12" s="221"/>
      <c r="I12" s="221"/>
      <c r="J12" s="222"/>
      <c r="K12" s="223"/>
      <c r="L12" s="224" t="s">
        <v>1657</v>
      </c>
      <c r="M12" s="624"/>
    </row>
    <row r="13" spans="1:13" ht="16" thickBot="1" x14ac:dyDescent="0.25">
      <c r="A13" s="622"/>
      <c r="B13" s="225" t="s">
        <v>634</v>
      </c>
      <c r="C13" s="223"/>
      <c r="D13" s="223"/>
      <c r="E13" s="222"/>
      <c r="F13" s="223"/>
      <c r="G13" s="223"/>
      <c r="H13" s="223"/>
      <c r="I13" s="223"/>
      <c r="J13" s="222"/>
      <c r="K13" s="223"/>
      <c r="L13" s="226" t="s">
        <v>635</v>
      </c>
      <c r="M13" s="625"/>
    </row>
    <row r="14" spans="1:13" ht="16" thickBot="1" x14ac:dyDescent="0.25">
      <c r="A14" s="620" t="s">
        <v>1674</v>
      </c>
      <c r="B14" s="220" t="s">
        <v>1632</v>
      </c>
      <c r="C14" s="221"/>
      <c r="D14" s="221"/>
      <c r="E14" s="222"/>
      <c r="F14" s="221"/>
      <c r="G14" s="221"/>
      <c r="H14" s="221"/>
      <c r="I14" s="221"/>
      <c r="J14" s="222"/>
      <c r="K14" s="223"/>
      <c r="L14" s="224" t="s">
        <v>1633</v>
      </c>
      <c r="M14" s="623" t="s">
        <v>1675</v>
      </c>
    </row>
    <row r="15" spans="1:13" ht="29" thickBot="1" x14ac:dyDescent="0.25">
      <c r="A15" s="621"/>
      <c r="B15" s="220" t="s">
        <v>1634</v>
      </c>
      <c r="C15" s="221"/>
      <c r="D15" s="221"/>
      <c r="E15" s="222"/>
      <c r="F15" s="221"/>
      <c r="G15" s="221"/>
      <c r="H15" s="221"/>
      <c r="I15" s="221"/>
      <c r="J15" s="222"/>
      <c r="K15" s="223"/>
      <c r="L15" s="224" t="s">
        <v>1635</v>
      </c>
      <c r="M15" s="624"/>
    </row>
    <row r="16" spans="1:13" ht="16" thickBot="1" x14ac:dyDescent="0.25">
      <c r="A16" s="621"/>
      <c r="B16" s="220" t="s">
        <v>1636</v>
      </c>
      <c r="C16" s="221"/>
      <c r="D16" s="221"/>
      <c r="E16" s="222"/>
      <c r="F16" s="221"/>
      <c r="G16" s="221"/>
      <c r="H16" s="221"/>
      <c r="I16" s="221"/>
      <c r="J16" s="222"/>
      <c r="K16" s="223"/>
      <c r="L16" s="224" t="s">
        <v>1637</v>
      </c>
      <c r="M16" s="624"/>
    </row>
    <row r="17" spans="1:13" ht="16" thickBot="1" x14ac:dyDescent="0.25">
      <c r="A17" s="621"/>
      <c r="B17" s="220" t="s">
        <v>1638</v>
      </c>
      <c r="C17" s="221"/>
      <c r="D17" s="221"/>
      <c r="E17" s="222"/>
      <c r="F17" s="221"/>
      <c r="G17" s="221"/>
      <c r="H17" s="221"/>
      <c r="I17" s="221"/>
      <c r="J17" s="222"/>
      <c r="K17" s="223"/>
      <c r="L17" s="224" t="s">
        <v>1639</v>
      </c>
      <c r="M17" s="624"/>
    </row>
    <row r="18" spans="1:13" ht="16" thickBot="1" x14ac:dyDescent="0.25">
      <c r="A18" s="621"/>
      <c r="B18" s="220" t="s">
        <v>1644</v>
      </c>
      <c r="C18" s="221"/>
      <c r="D18" s="221"/>
      <c r="E18" s="222"/>
      <c r="F18" s="221"/>
      <c r="G18" s="221"/>
      <c r="H18" s="221"/>
      <c r="I18" s="221"/>
      <c r="J18" s="222"/>
      <c r="K18" s="223"/>
      <c r="L18" s="224" t="s">
        <v>1645</v>
      </c>
      <c r="M18" s="624"/>
    </row>
    <row r="19" spans="1:13" ht="16" thickBot="1" x14ac:dyDescent="0.25">
      <c r="A19" s="621"/>
      <c r="B19" s="220" t="s">
        <v>1646</v>
      </c>
      <c r="C19" s="221"/>
      <c r="D19" s="221"/>
      <c r="E19" s="222"/>
      <c r="F19" s="221"/>
      <c r="G19" s="221"/>
      <c r="H19" s="221"/>
      <c r="I19" s="221"/>
      <c r="J19" s="222"/>
      <c r="K19" s="223"/>
      <c r="L19" s="224" t="s">
        <v>1647</v>
      </c>
      <c r="M19" s="624"/>
    </row>
    <row r="20" spans="1:13" ht="16" thickBot="1" x14ac:dyDescent="0.25">
      <c r="A20" s="621"/>
      <c r="B20" s="220" t="s">
        <v>1656</v>
      </c>
      <c r="C20" s="221"/>
      <c r="D20" s="221"/>
      <c r="E20" s="222"/>
      <c r="F20" s="221"/>
      <c r="G20" s="221"/>
      <c r="H20" s="221"/>
      <c r="I20" s="221"/>
      <c r="J20" s="222"/>
      <c r="K20" s="223"/>
      <c r="L20" s="224" t="s">
        <v>1657</v>
      </c>
      <c r="M20" s="624"/>
    </row>
    <row r="21" spans="1:13" ht="16" thickBot="1" x14ac:dyDescent="0.25">
      <c r="A21" s="622"/>
      <c r="B21" s="225" t="s">
        <v>634</v>
      </c>
      <c r="C21" s="223"/>
      <c r="D21" s="223"/>
      <c r="E21" s="222"/>
      <c r="F21" s="223"/>
      <c r="G21" s="223"/>
      <c r="H21" s="223"/>
      <c r="I21" s="223"/>
      <c r="J21" s="222"/>
      <c r="K21" s="223"/>
      <c r="L21" s="226" t="s">
        <v>635</v>
      </c>
      <c r="M21" s="625"/>
    </row>
    <row r="22" spans="1:13" ht="17.25" customHeight="1" x14ac:dyDescent="0.2">
      <c r="A22" s="626" t="s">
        <v>634</v>
      </c>
      <c r="B22" s="626"/>
      <c r="C22" s="626"/>
      <c r="D22" s="626"/>
      <c r="E22" s="626"/>
      <c r="F22" s="626"/>
      <c r="G22" s="627" t="s">
        <v>635</v>
      </c>
      <c r="H22" s="627"/>
      <c r="I22" s="627"/>
      <c r="J22" s="627"/>
      <c r="K22" s="627"/>
      <c r="L22" s="627"/>
      <c r="M22" s="627"/>
    </row>
    <row r="23" spans="1:13" x14ac:dyDescent="0.2">
      <c r="A23" s="628"/>
      <c r="B23" s="628"/>
      <c r="C23" s="629" t="s">
        <v>1720</v>
      </c>
      <c r="D23" s="629"/>
      <c r="E23" s="629"/>
      <c r="F23" s="629"/>
      <c r="G23" s="629"/>
      <c r="H23" s="629"/>
      <c r="I23" s="629"/>
      <c r="J23" s="629"/>
      <c r="K23" s="629"/>
      <c r="L23" s="628"/>
      <c r="M23" s="628"/>
    </row>
    <row r="24" spans="1:13" ht="25" x14ac:dyDescent="0.2">
      <c r="A24" s="628"/>
      <c r="B24" s="628"/>
      <c r="C24" s="219" t="s">
        <v>634</v>
      </c>
      <c r="D24" s="219" t="s">
        <v>1721</v>
      </c>
      <c r="E24" s="219" t="s">
        <v>1722</v>
      </c>
      <c r="F24" s="219" t="s">
        <v>1723</v>
      </c>
      <c r="G24" s="219" t="s">
        <v>1724</v>
      </c>
      <c r="H24" s="219" t="s">
        <v>1725</v>
      </c>
      <c r="I24" s="219" t="s">
        <v>1726</v>
      </c>
      <c r="J24" s="219" t="s">
        <v>1727</v>
      </c>
      <c r="K24" s="219" t="s">
        <v>634</v>
      </c>
      <c r="L24" s="628"/>
      <c r="M24" s="628"/>
    </row>
    <row r="25" spans="1:13" ht="16" thickBot="1" x14ac:dyDescent="0.25">
      <c r="A25" s="220" t="s">
        <v>1676</v>
      </c>
      <c r="B25" s="225" t="s">
        <v>634</v>
      </c>
      <c r="C25" s="223"/>
      <c r="D25" s="227"/>
      <c r="E25" s="227"/>
      <c r="F25" s="227"/>
      <c r="G25" s="227"/>
      <c r="H25" s="227"/>
      <c r="I25" s="227"/>
      <c r="J25" s="227"/>
      <c r="K25" s="223"/>
      <c r="L25" s="226" t="s">
        <v>635</v>
      </c>
      <c r="M25" s="224"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baseColWidth="10" defaultColWidth="9.3984375" defaultRowHeight="15" x14ac:dyDescent="0.2"/>
  <cols>
    <col min="1" max="1" width="22.19921875" style="229" bestFit="1" customWidth="1" collapsed="1"/>
    <col min="2" max="2" width="35" style="229" bestFit="1" customWidth="1" collapsed="1"/>
    <col min="3" max="11" width="30" style="229" bestFit="1" customWidth="1" collapsed="1"/>
    <col min="12" max="13" width="42.59765625" style="229" bestFit="1" customWidth="1" collapsed="1"/>
    <col min="14" max="16384" width="9.3984375" style="229" collapsed="1"/>
  </cols>
  <sheetData>
    <row r="1" spans="1:13" ht="18" x14ac:dyDescent="0.2">
      <c r="A1" s="228" t="s">
        <v>1728</v>
      </c>
    </row>
    <row r="3" spans="1:13" ht="17.25" customHeight="1" x14ac:dyDescent="0.2">
      <c r="A3" s="636" t="s">
        <v>634</v>
      </c>
      <c r="B3" s="636"/>
      <c r="C3" s="636"/>
      <c r="D3" s="636"/>
      <c r="E3" s="636"/>
      <c r="F3" s="636"/>
      <c r="G3" s="637" t="s">
        <v>635</v>
      </c>
      <c r="H3" s="637"/>
      <c r="I3" s="637"/>
      <c r="J3" s="637"/>
      <c r="K3" s="637"/>
      <c r="L3" s="637"/>
      <c r="M3" s="637"/>
    </row>
    <row r="4" spans="1:13" x14ac:dyDescent="0.2">
      <c r="A4" s="638"/>
      <c r="B4" s="638"/>
      <c r="C4" s="639" t="s">
        <v>1720</v>
      </c>
      <c r="D4" s="639"/>
      <c r="E4" s="639"/>
      <c r="F4" s="639"/>
      <c r="G4" s="639"/>
      <c r="H4" s="639"/>
      <c r="I4" s="639"/>
      <c r="J4" s="639"/>
      <c r="K4" s="639"/>
      <c r="L4" s="638"/>
      <c r="M4" s="638"/>
    </row>
    <row r="5" spans="1:13" ht="25" x14ac:dyDescent="0.2">
      <c r="A5" s="638"/>
      <c r="B5" s="638"/>
      <c r="C5" s="230" t="s">
        <v>634</v>
      </c>
      <c r="D5" s="230" t="s">
        <v>1721</v>
      </c>
      <c r="E5" s="230" t="s">
        <v>1722</v>
      </c>
      <c r="F5" s="230" t="s">
        <v>1723</v>
      </c>
      <c r="G5" s="230" t="s">
        <v>1724</v>
      </c>
      <c r="H5" s="230" t="s">
        <v>1725</v>
      </c>
      <c r="I5" s="230" t="s">
        <v>1726</v>
      </c>
      <c r="J5" s="230" t="s">
        <v>1727</v>
      </c>
      <c r="K5" s="230" t="s">
        <v>634</v>
      </c>
      <c r="L5" s="638"/>
      <c r="M5" s="638"/>
    </row>
    <row r="6" spans="1:13" ht="16" thickBot="1" x14ac:dyDescent="0.25">
      <c r="A6" s="632" t="s">
        <v>1600</v>
      </c>
      <c r="B6" s="231" t="s">
        <v>1632</v>
      </c>
      <c r="C6" s="232"/>
      <c r="D6" s="232"/>
      <c r="E6" s="233"/>
      <c r="F6" s="232"/>
      <c r="G6" s="232"/>
      <c r="H6" s="232"/>
      <c r="I6" s="232"/>
      <c r="J6" s="233"/>
      <c r="K6" s="234"/>
      <c r="L6" s="235" t="s">
        <v>1633</v>
      </c>
      <c r="M6" s="634" t="s">
        <v>1603</v>
      </c>
    </row>
    <row r="7" spans="1:13" ht="29" thickBot="1" x14ac:dyDescent="0.25">
      <c r="A7" s="632"/>
      <c r="B7" s="231" t="s">
        <v>1634</v>
      </c>
      <c r="C7" s="232"/>
      <c r="D7" s="232"/>
      <c r="E7" s="233"/>
      <c r="F7" s="232"/>
      <c r="G7" s="232"/>
      <c r="H7" s="232"/>
      <c r="I7" s="232"/>
      <c r="J7" s="233"/>
      <c r="K7" s="234"/>
      <c r="L7" s="235" t="s">
        <v>1635</v>
      </c>
      <c r="M7" s="634"/>
    </row>
    <row r="8" spans="1:13" ht="16" thickBot="1" x14ac:dyDescent="0.25">
      <c r="A8" s="632"/>
      <c r="B8" s="231" t="s">
        <v>1636</v>
      </c>
      <c r="C8" s="232"/>
      <c r="D8" s="232"/>
      <c r="E8" s="233"/>
      <c r="F8" s="232"/>
      <c r="G8" s="232"/>
      <c r="H8" s="232"/>
      <c r="I8" s="232"/>
      <c r="J8" s="233"/>
      <c r="K8" s="234"/>
      <c r="L8" s="235" t="s">
        <v>1637</v>
      </c>
      <c r="M8" s="634"/>
    </row>
    <row r="9" spans="1:13" ht="16" thickBot="1" x14ac:dyDescent="0.25">
      <c r="A9" s="632"/>
      <c r="B9" s="231" t="s">
        <v>1638</v>
      </c>
      <c r="C9" s="232"/>
      <c r="D9" s="232"/>
      <c r="E9" s="233"/>
      <c r="F9" s="232"/>
      <c r="G9" s="232"/>
      <c r="H9" s="232"/>
      <c r="I9" s="232"/>
      <c r="J9" s="233"/>
      <c r="K9" s="234"/>
      <c r="L9" s="235" t="s">
        <v>1639</v>
      </c>
      <c r="M9" s="634"/>
    </row>
    <row r="10" spans="1:13" ht="16" thickBot="1" x14ac:dyDescent="0.25">
      <c r="A10" s="632"/>
      <c r="B10" s="231" t="s">
        <v>1644</v>
      </c>
      <c r="C10" s="232"/>
      <c r="D10" s="232"/>
      <c r="E10" s="233"/>
      <c r="F10" s="232"/>
      <c r="G10" s="232"/>
      <c r="H10" s="232"/>
      <c r="I10" s="232"/>
      <c r="J10" s="233"/>
      <c r="K10" s="234"/>
      <c r="L10" s="235" t="s">
        <v>1645</v>
      </c>
      <c r="M10" s="634"/>
    </row>
    <row r="11" spans="1:13" ht="16" thickBot="1" x14ac:dyDescent="0.25">
      <c r="A11" s="632"/>
      <c r="B11" s="231" t="s">
        <v>1646</v>
      </c>
      <c r="C11" s="232"/>
      <c r="D11" s="232"/>
      <c r="E11" s="233"/>
      <c r="F11" s="232"/>
      <c r="G11" s="232"/>
      <c r="H11" s="232"/>
      <c r="I11" s="232"/>
      <c r="J11" s="233"/>
      <c r="K11" s="234"/>
      <c r="L11" s="235" t="s">
        <v>1647</v>
      </c>
      <c r="M11" s="634"/>
    </row>
    <row r="12" spans="1:13" ht="16" thickBot="1" x14ac:dyDescent="0.25">
      <c r="A12" s="632"/>
      <c r="B12" s="231" t="s">
        <v>1656</v>
      </c>
      <c r="C12" s="232"/>
      <c r="D12" s="232"/>
      <c r="E12" s="233"/>
      <c r="F12" s="232"/>
      <c r="G12" s="232"/>
      <c r="H12" s="232"/>
      <c r="I12" s="232"/>
      <c r="J12" s="233"/>
      <c r="K12" s="234"/>
      <c r="L12" s="235" t="s">
        <v>1657</v>
      </c>
      <c r="M12" s="634"/>
    </row>
    <row r="13" spans="1:13" ht="16" thickBot="1" x14ac:dyDescent="0.25">
      <c r="A13" s="633"/>
      <c r="B13" s="236" t="s">
        <v>634</v>
      </c>
      <c r="C13" s="234"/>
      <c r="D13" s="234"/>
      <c r="E13" s="233"/>
      <c r="F13" s="234"/>
      <c r="G13" s="234"/>
      <c r="H13" s="234"/>
      <c r="I13" s="234"/>
      <c r="J13" s="233"/>
      <c r="K13" s="234"/>
      <c r="L13" s="237" t="s">
        <v>635</v>
      </c>
      <c r="M13" s="635"/>
    </row>
    <row r="14" spans="1:13" ht="16" thickBot="1" x14ac:dyDescent="0.25">
      <c r="A14" s="640" t="s">
        <v>1674</v>
      </c>
      <c r="B14" s="231" t="s">
        <v>1632</v>
      </c>
      <c r="C14" s="232"/>
      <c r="D14" s="232"/>
      <c r="E14" s="233"/>
      <c r="F14" s="232"/>
      <c r="G14" s="232"/>
      <c r="H14" s="232"/>
      <c r="I14" s="232"/>
      <c r="J14" s="233"/>
      <c r="K14" s="234"/>
      <c r="L14" s="235" t="s">
        <v>1633</v>
      </c>
      <c r="M14" s="641" t="s">
        <v>1675</v>
      </c>
    </row>
    <row r="15" spans="1:13" ht="29" thickBot="1" x14ac:dyDescent="0.25">
      <c r="A15" s="632"/>
      <c r="B15" s="231" t="s">
        <v>1634</v>
      </c>
      <c r="C15" s="232"/>
      <c r="D15" s="232"/>
      <c r="E15" s="233"/>
      <c r="F15" s="232"/>
      <c r="G15" s="232"/>
      <c r="H15" s="232"/>
      <c r="I15" s="232"/>
      <c r="J15" s="233"/>
      <c r="K15" s="234"/>
      <c r="L15" s="235" t="s">
        <v>1635</v>
      </c>
      <c r="M15" s="634"/>
    </row>
    <row r="16" spans="1:13" ht="16" thickBot="1" x14ac:dyDescent="0.25">
      <c r="A16" s="632"/>
      <c r="B16" s="231" t="s">
        <v>1636</v>
      </c>
      <c r="C16" s="232"/>
      <c r="D16" s="232"/>
      <c r="E16" s="233"/>
      <c r="F16" s="232"/>
      <c r="G16" s="232"/>
      <c r="H16" s="232"/>
      <c r="I16" s="232"/>
      <c r="J16" s="233"/>
      <c r="K16" s="234"/>
      <c r="L16" s="235" t="s">
        <v>1637</v>
      </c>
      <c r="M16" s="634"/>
    </row>
    <row r="17" spans="1:13" ht="16" thickBot="1" x14ac:dyDescent="0.25">
      <c r="A17" s="632"/>
      <c r="B17" s="231" t="s">
        <v>1638</v>
      </c>
      <c r="C17" s="232"/>
      <c r="D17" s="232"/>
      <c r="E17" s="233"/>
      <c r="F17" s="232"/>
      <c r="G17" s="232"/>
      <c r="H17" s="232"/>
      <c r="I17" s="232"/>
      <c r="J17" s="233"/>
      <c r="K17" s="234"/>
      <c r="L17" s="235" t="s">
        <v>1639</v>
      </c>
      <c r="M17" s="634"/>
    </row>
    <row r="18" spans="1:13" ht="16" thickBot="1" x14ac:dyDescent="0.25">
      <c r="A18" s="632"/>
      <c r="B18" s="231" t="s">
        <v>1644</v>
      </c>
      <c r="C18" s="232"/>
      <c r="D18" s="232"/>
      <c r="E18" s="233"/>
      <c r="F18" s="232"/>
      <c r="G18" s="232"/>
      <c r="H18" s="232"/>
      <c r="I18" s="232"/>
      <c r="J18" s="233"/>
      <c r="K18" s="234"/>
      <c r="L18" s="235" t="s">
        <v>1645</v>
      </c>
      <c r="M18" s="634"/>
    </row>
    <row r="19" spans="1:13" ht="16" thickBot="1" x14ac:dyDescent="0.25">
      <c r="A19" s="632"/>
      <c r="B19" s="231" t="s">
        <v>1646</v>
      </c>
      <c r="C19" s="232"/>
      <c r="D19" s="232"/>
      <c r="E19" s="233"/>
      <c r="F19" s="232"/>
      <c r="G19" s="232"/>
      <c r="H19" s="232"/>
      <c r="I19" s="232"/>
      <c r="J19" s="233"/>
      <c r="K19" s="234"/>
      <c r="L19" s="235" t="s">
        <v>1647</v>
      </c>
      <c r="M19" s="634"/>
    </row>
    <row r="20" spans="1:13" ht="16" thickBot="1" x14ac:dyDescent="0.25">
      <c r="A20" s="632"/>
      <c r="B20" s="231" t="s">
        <v>1656</v>
      </c>
      <c r="C20" s="232"/>
      <c r="D20" s="232"/>
      <c r="E20" s="233"/>
      <c r="F20" s="232"/>
      <c r="G20" s="232"/>
      <c r="H20" s="232"/>
      <c r="I20" s="232"/>
      <c r="J20" s="233"/>
      <c r="K20" s="234"/>
      <c r="L20" s="235" t="s">
        <v>1657</v>
      </c>
      <c r="M20" s="634"/>
    </row>
    <row r="21" spans="1:13" ht="16" thickBot="1" x14ac:dyDescent="0.25">
      <c r="A21" s="633"/>
      <c r="B21" s="236" t="s">
        <v>634</v>
      </c>
      <c r="C21" s="234"/>
      <c r="D21" s="234"/>
      <c r="E21" s="233"/>
      <c r="F21" s="234"/>
      <c r="G21" s="234"/>
      <c r="H21" s="234"/>
      <c r="I21" s="234"/>
      <c r="J21" s="233"/>
      <c r="K21" s="234"/>
      <c r="L21" s="237" t="s">
        <v>635</v>
      </c>
      <c r="M21" s="635"/>
    </row>
    <row r="22" spans="1:13" ht="17.25" customHeight="1" x14ac:dyDescent="0.2">
      <c r="A22" s="642" t="s">
        <v>634</v>
      </c>
      <c r="B22" s="642"/>
      <c r="C22" s="642"/>
      <c r="D22" s="642"/>
      <c r="E22" s="642"/>
      <c r="F22" s="642"/>
      <c r="G22" s="643" t="s">
        <v>635</v>
      </c>
      <c r="H22" s="643"/>
      <c r="I22" s="643"/>
      <c r="J22" s="643"/>
      <c r="K22" s="643"/>
      <c r="L22" s="643"/>
      <c r="M22" s="643"/>
    </row>
    <row r="23" spans="1:13" x14ac:dyDescent="0.2">
      <c r="A23" s="638"/>
      <c r="B23" s="638"/>
      <c r="C23" s="639" t="s">
        <v>1720</v>
      </c>
      <c r="D23" s="639"/>
      <c r="E23" s="639"/>
      <c r="F23" s="639"/>
      <c r="G23" s="639"/>
      <c r="H23" s="639"/>
      <c r="I23" s="639"/>
      <c r="J23" s="639"/>
      <c r="K23" s="639"/>
      <c r="L23" s="638"/>
      <c r="M23" s="638"/>
    </row>
    <row r="24" spans="1:13" ht="25" x14ac:dyDescent="0.2">
      <c r="A24" s="638"/>
      <c r="B24" s="638"/>
      <c r="C24" s="230" t="s">
        <v>634</v>
      </c>
      <c r="D24" s="230" t="s">
        <v>1721</v>
      </c>
      <c r="E24" s="230" t="s">
        <v>1722</v>
      </c>
      <c r="F24" s="230" t="s">
        <v>1723</v>
      </c>
      <c r="G24" s="230" t="s">
        <v>1724</v>
      </c>
      <c r="H24" s="230" t="s">
        <v>1725</v>
      </c>
      <c r="I24" s="230" t="s">
        <v>1726</v>
      </c>
      <c r="J24" s="230" t="s">
        <v>1727</v>
      </c>
      <c r="K24" s="230" t="s">
        <v>634</v>
      </c>
      <c r="L24" s="638"/>
      <c r="M24" s="638"/>
    </row>
    <row r="25" spans="1:13" ht="16" thickBot="1" x14ac:dyDescent="0.25">
      <c r="A25" s="231" t="s">
        <v>1676</v>
      </c>
      <c r="B25" s="236" t="s">
        <v>634</v>
      </c>
      <c r="C25" s="234"/>
      <c r="D25" s="238"/>
      <c r="E25" s="238"/>
      <c r="F25" s="238"/>
      <c r="G25" s="238"/>
      <c r="H25" s="238"/>
      <c r="I25" s="238"/>
      <c r="J25" s="238"/>
      <c r="K25" s="234"/>
      <c r="L25" s="237" t="s">
        <v>635</v>
      </c>
      <c r="M25" s="235"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baseColWidth="10" defaultColWidth="9.3984375" defaultRowHeight="15" x14ac:dyDescent="0.2"/>
  <cols>
    <col min="1" max="1" width="42.59765625" style="239" bestFit="1" customWidth="1" collapsed="1"/>
    <col min="2" max="2" width="33.3984375" style="239" customWidth="1" collapsed="1"/>
    <col min="3" max="3" width="42.19921875" style="239" bestFit="1" customWidth="1" collapsed="1"/>
    <col min="4" max="16384" width="9.3984375" style="239" collapsed="1"/>
  </cols>
  <sheetData>
    <row r="1" spans="1:3" ht="34.5" customHeight="1" x14ac:dyDescent="0.2">
      <c r="A1" s="644" t="s">
        <v>1729</v>
      </c>
      <c r="B1" s="645"/>
      <c r="C1" s="645"/>
    </row>
    <row r="3" spans="1:3" ht="17.25" customHeight="1" x14ac:dyDescent="0.2">
      <c r="A3" s="240" t="s">
        <v>1680</v>
      </c>
      <c r="B3" s="646" t="s">
        <v>1681</v>
      </c>
      <c r="C3" s="646"/>
    </row>
    <row r="4" spans="1:3" x14ac:dyDescent="0.2">
      <c r="A4" s="241"/>
      <c r="B4" s="242" t="s">
        <v>102</v>
      </c>
    </row>
    <row r="5" spans="1:3" ht="16" thickBot="1" x14ac:dyDescent="0.25">
      <c r="A5" s="243" t="s">
        <v>1680</v>
      </c>
      <c r="B5" s="244"/>
      <c r="C5" s="245" t="s">
        <v>1681</v>
      </c>
    </row>
    <row r="6" spans="1:3" ht="75" customHeight="1" thickBot="1" x14ac:dyDescent="0.25">
      <c r="A6" s="246" t="s">
        <v>1730</v>
      </c>
      <c r="B6" s="247"/>
      <c r="C6" s="248"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baseColWidth="10" defaultColWidth="9.3984375" defaultRowHeight="15" x14ac:dyDescent="0.2"/>
  <cols>
    <col min="1" max="2" width="42.59765625" style="250" bestFit="1" customWidth="1" collapsed="1"/>
    <col min="3" max="7" width="30" style="250" bestFit="1" customWidth="1" collapsed="1"/>
    <col min="8" max="8" width="42.19921875" style="250" bestFit="1" customWidth="1" collapsed="1"/>
    <col min="9" max="9" width="42.59765625" style="250" bestFit="1" customWidth="1" collapsed="1"/>
    <col min="10" max="10" width="25.796875" style="250" bestFit="1" customWidth="1" collapsed="1"/>
    <col min="11" max="11" width="31.19921875" style="250" bestFit="1" customWidth="1" collapsed="1"/>
    <col min="12" max="12" width="42.59765625" style="250" bestFit="1" customWidth="1" collapsed="1"/>
    <col min="13" max="15" width="30" style="250" bestFit="1" customWidth="1" collapsed="1"/>
    <col min="16" max="16" width="42.19921875" style="250" bestFit="1" customWidth="1" collapsed="1"/>
    <col min="17" max="17" width="30" style="250" bestFit="1" customWidth="1" collapsed="1"/>
    <col min="18" max="18" width="42.19921875" style="250" bestFit="1" customWidth="1" collapsed="1"/>
    <col min="19" max="19" width="26.3984375" style="250" bestFit="1" customWidth="1" collapsed="1"/>
    <col min="20" max="20" width="25.796875" style="250" bestFit="1" customWidth="1" collapsed="1"/>
    <col min="21" max="16384" width="9.3984375" style="250" collapsed="1"/>
  </cols>
  <sheetData>
    <row r="1" spans="1:20" ht="18" x14ac:dyDescent="0.2">
      <c r="A1" s="249" t="s">
        <v>1732</v>
      </c>
    </row>
    <row r="3" spans="1:20" ht="17.25" customHeight="1" x14ac:dyDescent="0.2">
      <c r="A3" s="649" t="s">
        <v>17</v>
      </c>
      <c r="B3" s="649"/>
      <c r="C3" s="649"/>
      <c r="D3" s="649"/>
      <c r="E3" s="649"/>
      <c r="F3" s="649"/>
      <c r="G3" s="649"/>
      <c r="H3" s="649"/>
      <c r="I3" s="649"/>
      <c r="J3" s="649"/>
      <c r="K3" s="650" t="s">
        <v>104</v>
      </c>
      <c r="L3" s="650"/>
      <c r="M3" s="650"/>
      <c r="N3" s="650"/>
      <c r="O3" s="650"/>
      <c r="P3" s="650"/>
      <c r="Q3" s="650"/>
      <c r="R3" s="650"/>
      <c r="S3" s="650"/>
      <c r="T3" s="650"/>
    </row>
    <row r="4" spans="1:20" ht="17.25" customHeight="1" x14ac:dyDescent="0.2">
      <c r="A4" s="649" t="s">
        <v>1733</v>
      </c>
      <c r="B4" s="649"/>
      <c r="C4" s="649"/>
      <c r="D4" s="649"/>
      <c r="E4" s="649"/>
      <c r="F4" s="650" t="s">
        <v>1734</v>
      </c>
      <c r="G4" s="650"/>
      <c r="H4" s="650"/>
      <c r="I4" s="650"/>
      <c r="J4" s="650"/>
      <c r="K4" s="649" t="s">
        <v>1733</v>
      </c>
      <c r="L4" s="649"/>
      <c r="M4" s="649"/>
      <c r="N4" s="649"/>
      <c r="O4" s="649"/>
      <c r="P4" s="650" t="s">
        <v>1734</v>
      </c>
      <c r="Q4" s="650"/>
      <c r="R4" s="650"/>
      <c r="S4" s="650"/>
      <c r="T4" s="650"/>
    </row>
    <row r="5" spans="1:20" x14ac:dyDescent="0.2">
      <c r="A5" s="647"/>
      <c r="B5" s="647"/>
      <c r="C5" s="651" t="s">
        <v>1688</v>
      </c>
      <c r="D5" s="651"/>
      <c r="E5" s="651"/>
      <c r="F5" s="651"/>
      <c r="G5" s="651"/>
      <c r="H5" s="651"/>
      <c r="I5" s="647"/>
      <c r="J5" s="647"/>
      <c r="K5" s="647"/>
      <c r="L5" s="647"/>
      <c r="M5" s="651" t="s">
        <v>1688</v>
      </c>
      <c r="N5" s="651"/>
      <c r="O5" s="651"/>
      <c r="P5" s="651"/>
      <c r="Q5" s="651"/>
      <c r="R5" s="651"/>
      <c r="S5" s="647"/>
      <c r="T5" s="647"/>
    </row>
    <row r="6" spans="1:20" x14ac:dyDescent="0.2">
      <c r="A6" s="647"/>
      <c r="B6" s="647"/>
      <c r="C6" s="648" t="s">
        <v>1707</v>
      </c>
      <c r="D6" s="648"/>
      <c r="E6" s="648"/>
      <c r="F6" s="648"/>
      <c r="G6" s="648"/>
      <c r="H6" s="648"/>
      <c r="I6" s="647"/>
      <c r="J6" s="647"/>
      <c r="K6" s="647"/>
      <c r="L6" s="647"/>
      <c r="M6" s="648" t="s">
        <v>1707</v>
      </c>
      <c r="N6" s="648"/>
      <c r="O6" s="648"/>
      <c r="P6" s="648"/>
      <c r="Q6" s="648"/>
      <c r="R6" s="648"/>
      <c r="S6" s="647"/>
      <c r="T6" s="647"/>
    </row>
    <row r="7" spans="1:20" x14ac:dyDescent="0.2">
      <c r="A7" s="647"/>
      <c r="B7" s="647"/>
      <c r="C7" s="251" t="s">
        <v>1735</v>
      </c>
      <c r="D7" s="251" t="s">
        <v>1736</v>
      </c>
      <c r="E7" s="251" t="s">
        <v>1737</v>
      </c>
      <c r="F7" s="251" t="s">
        <v>1738</v>
      </c>
      <c r="G7" s="251" t="s">
        <v>1739</v>
      </c>
      <c r="H7" s="251" t="s">
        <v>1740</v>
      </c>
      <c r="I7" s="647"/>
      <c r="J7" s="647"/>
      <c r="K7" s="647"/>
      <c r="L7" s="647"/>
      <c r="M7" s="251" t="s">
        <v>1735</v>
      </c>
      <c r="N7" s="251" t="s">
        <v>1736</v>
      </c>
      <c r="O7" s="251" t="s">
        <v>1737</v>
      </c>
      <c r="P7" s="251" t="s">
        <v>1738</v>
      </c>
      <c r="Q7" s="251" t="s">
        <v>1739</v>
      </c>
      <c r="R7" s="251" t="s">
        <v>1740</v>
      </c>
      <c r="S7" s="647"/>
      <c r="T7" s="647"/>
    </row>
    <row r="8" spans="1:20" x14ac:dyDescent="0.2">
      <c r="A8" s="647"/>
      <c r="B8" s="647"/>
      <c r="C8" s="252" t="s">
        <v>1741</v>
      </c>
      <c r="D8" s="252" t="s">
        <v>1742</v>
      </c>
      <c r="E8" s="252" t="s">
        <v>1743</v>
      </c>
      <c r="F8" s="252" t="s">
        <v>1744</v>
      </c>
      <c r="G8" s="252" t="s">
        <v>1745</v>
      </c>
      <c r="H8" s="252" t="s">
        <v>1746</v>
      </c>
      <c r="I8" s="647"/>
      <c r="J8" s="647"/>
      <c r="K8" s="647"/>
      <c r="L8" s="647"/>
      <c r="M8" s="252" t="s">
        <v>1741</v>
      </c>
      <c r="N8" s="252" t="s">
        <v>1742</v>
      </c>
      <c r="O8" s="252" t="s">
        <v>1743</v>
      </c>
      <c r="P8" s="252" t="s">
        <v>1744</v>
      </c>
      <c r="Q8" s="252" t="s">
        <v>1745</v>
      </c>
      <c r="R8" s="252" t="s">
        <v>1746</v>
      </c>
      <c r="S8" s="647"/>
      <c r="T8" s="647"/>
    </row>
    <row r="9" spans="1:20" ht="16" thickBot="1" x14ac:dyDescent="0.25">
      <c r="A9" s="652" t="s">
        <v>1691</v>
      </c>
      <c r="B9" s="253" t="s">
        <v>1747</v>
      </c>
      <c r="C9" s="254"/>
      <c r="D9" s="254"/>
      <c r="E9" s="254"/>
      <c r="F9" s="254"/>
      <c r="G9" s="254"/>
      <c r="H9" s="255"/>
      <c r="I9" s="654" t="s">
        <v>1691</v>
      </c>
      <c r="J9" s="256" t="s">
        <v>1748</v>
      </c>
      <c r="K9" s="652" t="s">
        <v>1691</v>
      </c>
      <c r="L9" s="253" t="s">
        <v>1747</v>
      </c>
      <c r="M9" s="254"/>
      <c r="N9" s="254"/>
      <c r="O9" s="254"/>
      <c r="P9" s="254"/>
      <c r="Q9" s="254"/>
      <c r="R9" s="255"/>
      <c r="S9" s="654" t="s">
        <v>1691</v>
      </c>
      <c r="T9" s="256" t="s">
        <v>1748</v>
      </c>
    </row>
    <row r="10" spans="1:20" ht="16" thickBot="1" x14ac:dyDescent="0.25">
      <c r="A10" s="652"/>
      <c r="B10" s="253" t="s">
        <v>1749</v>
      </c>
      <c r="C10" s="254"/>
      <c r="D10" s="254"/>
      <c r="E10" s="254"/>
      <c r="F10" s="254"/>
      <c r="G10" s="254"/>
      <c r="H10" s="255"/>
      <c r="I10" s="654"/>
      <c r="J10" s="256" t="s">
        <v>1750</v>
      </c>
      <c r="K10" s="652"/>
      <c r="L10" s="253" t="s">
        <v>1749</v>
      </c>
      <c r="M10" s="254"/>
      <c r="N10" s="254"/>
      <c r="O10" s="254"/>
      <c r="P10" s="254"/>
      <c r="Q10" s="254"/>
      <c r="R10" s="255"/>
      <c r="S10" s="654"/>
      <c r="T10" s="256" t="s">
        <v>1750</v>
      </c>
    </row>
    <row r="11" spans="1:20" ht="16" thickBot="1" x14ac:dyDescent="0.25">
      <c r="A11" s="652"/>
      <c r="B11" s="253" t="s">
        <v>1751</v>
      </c>
      <c r="C11" s="254"/>
      <c r="D11" s="254"/>
      <c r="E11" s="254"/>
      <c r="F11" s="254"/>
      <c r="G11" s="254"/>
      <c r="H11" s="255"/>
      <c r="I11" s="654"/>
      <c r="J11" s="256" t="s">
        <v>1752</v>
      </c>
      <c r="K11" s="652"/>
      <c r="L11" s="253" t="s">
        <v>1751</v>
      </c>
      <c r="M11" s="254"/>
      <c r="N11" s="254"/>
      <c r="O11" s="254"/>
      <c r="P11" s="254"/>
      <c r="Q11" s="254"/>
      <c r="R11" s="255"/>
      <c r="S11" s="654"/>
      <c r="T11" s="256" t="s">
        <v>1752</v>
      </c>
    </row>
    <row r="12" spans="1:20" ht="16" thickBot="1" x14ac:dyDescent="0.25">
      <c r="A12" s="652"/>
      <c r="B12" s="253" t="s">
        <v>1753</v>
      </c>
      <c r="C12" s="254"/>
      <c r="D12" s="254"/>
      <c r="E12" s="254"/>
      <c r="F12" s="254"/>
      <c r="G12" s="254"/>
      <c r="H12" s="255"/>
      <c r="I12" s="654"/>
      <c r="J12" s="256" t="s">
        <v>1754</v>
      </c>
      <c r="K12" s="652"/>
      <c r="L12" s="253" t="s">
        <v>1753</v>
      </c>
      <c r="M12" s="254"/>
      <c r="N12" s="254"/>
      <c r="O12" s="254"/>
      <c r="P12" s="254"/>
      <c r="Q12" s="254"/>
      <c r="R12" s="255"/>
      <c r="S12" s="654"/>
      <c r="T12" s="256" t="s">
        <v>1754</v>
      </c>
    </row>
    <row r="13" spans="1:20" ht="16" thickBot="1" x14ac:dyDescent="0.25">
      <c r="A13" s="652"/>
      <c r="B13" s="253" t="s">
        <v>1755</v>
      </c>
      <c r="C13" s="254"/>
      <c r="D13" s="254"/>
      <c r="E13" s="254"/>
      <c r="F13" s="254"/>
      <c r="G13" s="254"/>
      <c r="H13" s="255"/>
      <c r="I13" s="654"/>
      <c r="J13" s="256" t="s">
        <v>1756</v>
      </c>
      <c r="K13" s="652"/>
      <c r="L13" s="253" t="s">
        <v>1755</v>
      </c>
      <c r="M13" s="254"/>
      <c r="N13" s="254"/>
      <c r="O13" s="254"/>
      <c r="P13" s="254"/>
      <c r="Q13" s="254"/>
      <c r="R13" s="255"/>
      <c r="S13" s="654"/>
      <c r="T13" s="256" t="s">
        <v>1756</v>
      </c>
    </row>
    <row r="14" spans="1:20" ht="16" thickBot="1" x14ac:dyDescent="0.25">
      <c r="A14" s="652"/>
      <c r="B14" s="253" t="s">
        <v>1757</v>
      </c>
      <c r="C14" s="254"/>
      <c r="D14" s="254"/>
      <c r="E14" s="254"/>
      <c r="F14" s="254"/>
      <c r="G14" s="254"/>
      <c r="H14" s="255"/>
      <c r="I14" s="654"/>
      <c r="J14" s="256" t="s">
        <v>1758</v>
      </c>
      <c r="K14" s="652"/>
      <c r="L14" s="253" t="s">
        <v>1757</v>
      </c>
      <c r="M14" s="254"/>
      <c r="N14" s="254"/>
      <c r="O14" s="254"/>
      <c r="P14" s="254"/>
      <c r="Q14" s="254"/>
      <c r="R14" s="255"/>
      <c r="S14" s="654"/>
      <c r="T14" s="256" t="s">
        <v>1758</v>
      </c>
    </row>
    <row r="15" spans="1:20" ht="16" thickBot="1" x14ac:dyDescent="0.25">
      <c r="A15" s="652"/>
      <c r="B15" s="253" t="s">
        <v>1759</v>
      </c>
      <c r="C15" s="254"/>
      <c r="D15" s="254"/>
      <c r="E15" s="254"/>
      <c r="F15" s="254"/>
      <c r="G15" s="254"/>
      <c r="H15" s="255"/>
      <c r="I15" s="654"/>
      <c r="J15" s="256" t="s">
        <v>1760</v>
      </c>
      <c r="K15" s="652"/>
      <c r="L15" s="253" t="s">
        <v>1759</v>
      </c>
      <c r="M15" s="254"/>
      <c r="N15" s="254"/>
      <c r="O15" s="254"/>
      <c r="P15" s="254"/>
      <c r="Q15" s="254"/>
      <c r="R15" s="255"/>
      <c r="S15" s="654"/>
      <c r="T15" s="256" t="s">
        <v>1760</v>
      </c>
    </row>
    <row r="16" spans="1:20" ht="16" thickBot="1" x14ac:dyDescent="0.25">
      <c r="A16" s="652"/>
      <c r="B16" s="253" t="s">
        <v>1761</v>
      </c>
      <c r="C16" s="254"/>
      <c r="D16" s="254"/>
      <c r="E16" s="254"/>
      <c r="F16" s="254"/>
      <c r="G16" s="254"/>
      <c r="H16" s="255"/>
      <c r="I16" s="654"/>
      <c r="J16" s="256" t="s">
        <v>1762</v>
      </c>
      <c r="K16" s="652"/>
      <c r="L16" s="253" t="s">
        <v>1761</v>
      </c>
      <c r="M16" s="254"/>
      <c r="N16" s="254"/>
      <c r="O16" s="254"/>
      <c r="P16" s="254"/>
      <c r="Q16" s="254"/>
      <c r="R16" s="255"/>
      <c r="S16" s="654"/>
      <c r="T16" s="256" t="s">
        <v>1762</v>
      </c>
    </row>
    <row r="17" spans="1:20" ht="16" thickBot="1" x14ac:dyDescent="0.25">
      <c r="A17" s="653"/>
      <c r="B17" s="257" t="s">
        <v>1763</v>
      </c>
      <c r="C17" s="255"/>
      <c r="D17" s="255"/>
      <c r="E17" s="255"/>
      <c r="F17" s="255"/>
      <c r="G17" s="255"/>
      <c r="H17" s="255"/>
      <c r="I17" s="655"/>
      <c r="J17" s="258" t="s">
        <v>1764</v>
      </c>
      <c r="K17" s="653"/>
      <c r="L17" s="257" t="s">
        <v>1763</v>
      </c>
      <c r="M17" s="255"/>
      <c r="N17" s="255"/>
      <c r="O17" s="255"/>
      <c r="P17" s="255"/>
      <c r="Q17" s="255"/>
      <c r="R17" s="255"/>
      <c r="S17" s="655"/>
      <c r="T17" s="258" t="s">
        <v>1764</v>
      </c>
    </row>
    <row r="18" spans="1:20" ht="16" thickBot="1" x14ac:dyDescent="0.25">
      <c r="A18" s="656" t="s">
        <v>1694</v>
      </c>
      <c r="B18" s="253" t="s">
        <v>1747</v>
      </c>
      <c r="C18" s="254"/>
      <c r="D18" s="254"/>
      <c r="E18" s="254"/>
      <c r="F18" s="254"/>
      <c r="G18" s="254"/>
      <c r="H18" s="255"/>
      <c r="I18" s="657" t="s">
        <v>1695</v>
      </c>
      <c r="J18" s="256" t="s">
        <v>1748</v>
      </c>
      <c r="K18" s="656" t="s">
        <v>1694</v>
      </c>
      <c r="L18" s="253" t="s">
        <v>1747</v>
      </c>
      <c r="M18" s="254"/>
      <c r="N18" s="254"/>
      <c r="O18" s="254"/>
      <c r="P18" s="254"/>
      <c r="Q18" s="254"/>
      <c r="R18" s="255"/>
      <c r="S18" s="657" t="s">
        <v>1695</v>
      </c>
      <c r="T18" s="256" t="s">
        <v>1748</v>
      </c>
    </row>
    <row r="19" spans="1:20" ht="16" thickBot="1" x14ac:dyDescent="0.25">
      <c r="A19" s="652"/>
      <c r="B19" s="253" t="s">
        <v>1749</v>
      </c>
      <c r="C19" s="254"/>
      <c r="D19" s="254"/>
      <c r="E19" s="254"/>
      <c r="F19" s="254"/>
      <c r="G19" s="254"/>
      <c r="H19" s="255"/>
      <c r="I19" s="654"/>
      <c r="J19" s="256" t="s">
        <v>1750</v>
      </c>
      <c r="K19" s="652"/>
      <c r="L19" s="253" t="s">
        <v>1749</v>
      </c>
      <c r="M19" s="254"/>
      <c r="N19" s="254"/>
      <c r="O19" s="254"/>
      <c r="P19" s="254"/>
      <c r="Q19" s="254"/>
      <c r="R19" s="255"/>
      <c r="S19" s="654"/>
      <c r="T19" s="256" t="s">
        <v>1750</v>
      </c>
    </row>
    <row r="20" spans="1:20" ht="16" thickBot="1" x14ac:dyDescent="0.25">
      <c r="A20" s="652"/>
      <c r="B20" s="253" t="s">
        <v>1751</v>
      </c>
      <c r="C20" s="254"/>
      <c r="D20" s="254"/>
      <c r="E20" s="254"/>
      <c r="F20" s="254"/>
      <c r="G20" s="254"/>
      <c r="H20" s="255"/>
      <c r="I20" s="654"/>
      <c r="J20" s="256" t="s">
        <v>1752</v>
      </c>
      <c r="K20" s="652"/>
      <c r="L20" s="253" t="s">
        <v>1751</v>
      </c>
      <c r="M20" s="254"/>
      <c r="N20" s="254"/>
      <c r="O20" s="254"/>
      <c r="P20" s="254"/>
      <c r="Q20" s="254"/>
      <c r="R20" s="255"/>
      <c r="S20" s="654"/>
      <c r="T20" s="256" t="s">
        <v>1752</v>
      </c>
    </row>
    <row r="21" spans="1:20" ht="16" thickBot="1" x14ac:dyDescent="0.25">
      <c r="A21" s="652"/>
      <c r="B21" s="253" t="s">
        <v>1753</v>
      </c>
      <c r="C21" s="254"/>
      <c r="D21" s="254"/>
      <c r="E21" s="254"/>
      <c r="F21" s="254"/>
      <c r="G21" s="254"/>
      <c r="H21" s="255"/>
      <c r="I21" s="654"/>
      <c r="J21" s="256" t="s">
        <v>1754</v>
      </c>
      <c r="K21" s="652"/>
      <c r="L21" s="253" t="s">
        <v>1753</v>
      </c>
      <c r="M21" s="254"/>
      <c r="N21" s="254"/>
      <c r="O21" s="254"/>
      <c r="P21" s="254"/>
      <c r="Q21" s="254"/>
      <c r="R21" s="255"/>
      <c r="S21" s="654"/>
      <c r="T21" s="256" t="s">
        <v>1754</v>
      </c>
    </row>
    <row r="22" spans="1:20" ht="16" thickBot="1" x14ac:dyDescent="0.25">
      <c r="A22" s="652"/>
      <c r="B22" s="253" t="s">
        <v>1755</v>
      </c>
      <c r="C22" s="254"/>
      <c r="D22" s="254"/>
      <c r="E22" s="254"/>
      <c r="F22" s="254"/>
      <c r="G22" s="254"/>
      <c r="H22" s="255"/>
      <c r="I22" s="654"/>
      <c r="J22" s="256" t="s">
        <v>1756</v>
      </c>
      <c r="K22" s="652"/>
      <c r="L22" s="253" t="s">
        <v>1755</v>
      </c>
      <c r="M22" s="254"/>
      <c r="N22" s="254"/>
      <c r="O22" s="254"/>
      <c r="P22" s="254"/>
      <c r="Q22" s="254"/>
      <c r="R22" s="255"/>
      <c r="S22" s="654"/>
      <c r="T22" s="256" t="s">
        <v>1756</v>
      </c>
    </row>
    <row r="23" spans="1:20" ht="16" thickBot="1" x14ac:dyDescent="0.25">
      <c r="A23" s="652"/>
      <c r="B23" s="253" t="s">
        <v>1757</v>
      </c>
      <c r="C23" s="254"/>
      <c r="D23" s="254"/>
      <c r="E23" s="254"/>
      <c r="F23" s="254"/>
      <c r="G23" s="254"/>
      <c r="H23" s="255"/>
      <c r="I23" s="654"/>
      <c r="J23" s="256" t="s">
        <v>1758</v>
      </c>
      <c r="K23" s="652"/>
      <c r="L23" s="253" t="s">
        <v>1757</v>
      </c>
      <c r="M23" s="254"/>
      <c r="N23" s="254"/>
      <c r="O23" s="254"/>
      <c r="P23" s="254"/>
      <c r="Q23" s="254"/>
      <c r="R23" s="255"/>
      <c r="S23" s="654"/>
      <c r="T23" s="256" t="s">
        <v>1758</v>
      </c>
    </row>
    <row r="24" spans="1:20" ht="16" thickBot="1" x14ac:dyDescent="0.25">
      <c r="A24" s="652"/>
      <c r="B24" s="253" t="s">
        <v>1759</v>
      </c>
      <c r="C24" s="254"/>
      <c r="D24" s="254"/>
      <c r="E24" s="254"/>
      <c r="F24" s="254"/>
      <c r="G24" s="254"/>
      <c r="H24" s="255"/>
      <c r="I24" s="654"/>
      <c r="J24" s="256" t="s">
        <v>1760</v>
      </c>
      <c r="K24" s="652"/>
      <c r="L24" s="253" t="s">
        <v>1759</v>
      </c>
      <c r="M24" s="254"/>
      <c r="N24" s="254"/>
      <c r="O24" s="254"/>
      <c r="P24" s="254"/>
      <c r="Q24" s="254"/>
      <c r="R24" s="255"/>
      <c r="S24" s="654"/>
      <c r="T24" s="256" t="s">
        <v>1760</v>
      </c>
    </row>
    <row r="25" spans="1:20" ht="16" thickBot="1" x14ac:dyDescent="0.25">
      <c r="A25" s="652"/>
      <c r="B25" s="253" t="s">
        <v>1761</v>
      </c>
      <c r="C25" s="254"/>
      <c r="D25" s="254"/>
      <c r="E25" s="254"/>
      <c r="F25" s="254"/>
      <c r="G25" s="254"/>
      <c r="H25" s="255"/>
      <c r="I25" s="654"/>
      <c r="J25" s="256" t="s">
        <v>1762</v>
      </c>
      <c r="K25" s="652"/>
      <c r="L25" s="253" t="s">
        <v>1761</v>
      </c>
      <c r="M25" s="254"/>
      <c r="N25" s="254"/>
      <c r="O25" s="254"/>
      <c r="P25" s="254"/>
      <c r="Q25" s="254"/>
      <c r="R25" s="255"/>
      <c r="S25" s="654"/>
      <c r="T25" s="256" t="s">
        <v>1762</v>
      </c>
    </row>
    <row r="26" spans="1:20" ht="16" thickBot="1" x14ac:dyDescent="0.25">
      <c r="A26" s="653"/>
      <c r="B26" s="257" t="s">
        <v>1763</v>
      </c>
      <c r="C26" s="255"/>
      <c r="D26" s="255"/>
      <c r="E26" s="255"/>
      <c r="F26" s="255"/>
      <c r="G26" s="255"/>
      <c r="H26" s="255"/>
      <c r="I26" s="655"/>
      <c r="J26" s="258" t="s">
        <v>1764</v>
      </c>
      <c r="K26" s="653"/>
      <c r="L26" s="257" t="s">
        <v>1763</v>
      </c>
      <c r="M26" s="255"/>
      <c r="N26" s="255"/>
      <c r="O26" s="255"/>
      <c r="P26" s="255"/>
      <c r="Q26" s="255"/>
      <c r="R26" s="255"/>
      <c r="S26" s="655"/>
      <c r="T26" s="258" t="s">
        <v>1764</v>
      </c>
    </row>
    <row r="27" spans="1:20" ht="17.25" customHeight="1" x14ac:dyDescent="0.2">
      <c r="A27" s="658" t="s">
        <v>17</v>
      </c>
      <c r="B27" s="658"/>
      <c r="C27" s="658"/>
      <c r="D27" s="658"/>
      <c r="E27" s="658"/>
      <c r="F27" s="658"/>
      <c r="G27" s="658"/>
      <c r="H27" s="658"/>
      <c r="I27" s="658"/>
      <c r="J27" s="658"/>
      <c r="K27" s="659" t="s">
        <v>104</v>
      </c>
      <c r="L27" s="659"/>
      <c r="M27" s="659"/>
      <c r="N27" s="659"/>
      <c r="O27" s="659"/>
      <c r="P27" s="659"/>
      <c r="Q27" s="659"/>
      <c r="R27" s="659"/>
      <c r="S27" s="659"/>
      <c r="T27" s="659"/>
    </row>
    <row r="28" spans="1:20" ht="17.25" customHeight="1" x14ac:dyDescent="0.2">
      <c r="A28" s="649" t="s">
        <v>1733</v>
      </c>
      <c r="B28" s="649"/>
      <c r="C28" s="649"/>
      <c r="D28" s="649"/>
      <c r="E28" s="649"/>
      <c r="F28" s="650" t="s">
        <v>1734</v>
      </c>
      <c r="G28" s="650"/>
      <c r="H28" s="650"/>
      <c r="I28" s="650"/>
      <c r="J28" s="650"/>
      <c r="K28" s="649" t="s">
        <v>1733</v>
      </c>
      <c r="L28" s="649"/>
      <c r="M28" s="649"/>
      <c r="N28" s="649"/>
      <c r="O28" s="649"/>
      <c r="P28" s="650" t="s">
        <v>1734</v>
      </c>
      <c r="Q28" s="650"/>
      <c r="R28" s="650"/>
      <c r="S28" s="650"/>
      <c r="T28" s="650"/>
    </row>
    <row r="29" spans="1:20" x14ac:dyDescent="0.2">
      <c r="A29" s="647"/>
      <c r="B29" s="647"/>
      <c r="C29" s="651" t="s">
        <v>1688</v>
      </c>
      <c r="D29" s="651"/>
      <c r="E29" s="651"/>
      <c r="F29" s="651"/>
      <c r="G29" s="651"/>
      <c r="H29" s="651"/>
      <c r="I29" s="647"/>
      <c r="J29" s="647"/>
      <c r="K29" s="647"/>
      <c r="L29" s="647"/>
      <c r="M29" s="651" t="s">
        <v>1688</v>
      </c>
      <c r="N29" s="651"/>
      <c r="O29" s="651"/>
      <c r="P29" s="651"/>
      <c r="Q29" s="651"/>
      <c r="R29" s="651"/>
      <c r="S29" s="647"/>
      <c r="T29" s="647"/>
    </row>
    <row r="30" spans="1:20" x14ac:dyDescent="0.2">
      <c r="A30" s="647"/>
      <c r="B30" s="647"/>
      <c r="C30" s="648" t="s">
        <v>1707</v>
      </c>
      <c r="D30" s="648"/>
      <c r="E30" s="648"/>
      <c r="F30" s="648"/>
      <c r="G30" s="648"/>
      <c r="H30" s="648"/>
      <c r="I30" s="647"/>
      <c r="J30" s="647"/>
      <c r="K30" s="647"/>
      <c r="L30" s="647"/>
      <c r="M30" s="648" t="s">
        <v>1707</v>
      </c>
      <c r="N30" s="648"/>
      <c r="O30" s="648"/>
      <c r="P30" s="648"/>
      <c r="Q30" s="648"/>
      <c r="R30" s="648"/>
      <c r="S30" s="647"/>
      <c r="T30" s="647"/>
    </row>
    <row r="31" spans="1:20" x14ac:dyDescent="0.2">
      <c r="A31" s="647"/>
      <c r="B31" s="647"/>
      <c r="C31" s="251" t="s">
        <v>1735</v>
      </c>
      <c r="D31" s="251" t="s">
        <v>1736</v>
      </c>
      <c r="E31" s="251" t="s">
        <v>1737</v>
      </c>
      <c r="F31" s="251" t="s">
        <v>1738</v>
      </c>
      <c r="G31" s="251" t="s">
        <v>1739</v>
      </c>
      <c r="H31" s="251" t="s">
        <v>1740</v>
      </c>
      <c r="I31" s="647"/>
      <c r="J31" s="647"/>
      <c r="K31" s="647"/>
      <c r="L31" s="647"/>
      <c r="M31" s="251" t="s">
        <v>1735</v>
      </c>
      <c r="N31" s="251" t="s">
        <v>1736</v>
      </c>
      <c r="O31" s="251" t="s">
        <v>1737</v>
      </c>
      <c r="P31" s="251" t="s">
        <v>1738</v>
      </c>
      <c r="Q31" s="251" t="s">
        <v>1739</v>
      </c>
      <c r="R31" s="251" t="s">
        <v>1740</v>
      </c>
      <c r="S31" s="647"/>
      <c r="T31" s="647"/>
    </row>
    <row r="32" spans="1:20" x14ac:dyDescent="0.2">
      <c r="A32" s="647"/>
      <c r="B32" s="647"/>
      <c r="C32" s="252" t="s">
        <v>1741</v>
      </c>
      <c r="D32" s="252" t="s">
        <v>1742</v>
      </c>
      <c r="E32" s="252" t="s">
        <v>1743</v>
      </c>
      <c r="F32" s="252" t="s">
        <v>1744</v>
      </c>
      <c r="G32" s="252" t="s">
        <v>1745</v>
      </c>
      <c r="H32" s="252" t="s">
        <v>1746</v>
      </c>
      <c r="I32" s="647"/>
      <c r="J32" s="647"/>
      <c r="K32" s="647"/>
      <c r="L32" s="647"/>
      <c r="M32" s="252" t="s">
        <v>1741</v>
      </c>
      <c r="N32" s="252" t="s">
        <v>1742</v>
      </c>
      <c r="O32" s="252" t="s">
        <v>1743</v>
      </c>
      <c r="P32" s="252" t="s">
        <v>1744</v>
      </c>
      <c r="Q32" s="252" t="s">
        <v>1745</v>
      </c>
      <c r="R32" s="252" t="s">
        <v>1746</v>
      </c>
      <c r="S32" s="647"/>
      <c r="T32" s="647"/>
    </row>
    <row r="33" spans="1:20" ht="16" thickBot="1" x14ac:dyDescent="0.25">
      <c r="A33" s="253" t="s">
        <v>1696</v>
      </c>
      <c r="B33" s="257" t="s">
        <v>1763</v>
      </c>
      <c r="C33" s="255"/>
      <c r="D33" s="255"/>
      <c r="E33" s="255"/>
      <c r="F33" s="255"/>
      <c r="G33" s="255"/>
      <c r="H33" s="255"/>
      <c r="I33" s="256" t="s">
        <v>1697</v>
      </c>
      <c r="J33" s="258" t="s">
        <v>1764</v>
      </c>
      <c r="K33" s="253" t="s">
        <v>1696</v>
      </c>
      <c r="L33" s="257" t="s">
        <v>1763</v>
      </c>
      <c r="M33" s="255"/>
      <c r="N33" s="255"/>
      <c r="O33" s="255"/>
      <c r="P33" s="255"/>
      <c r="Q33" s="255"/>
      <c r="R33" s="255"/>
      <c r="S33" s="256" t="s">
        <v>1697</v>
      </c>
      <c r="T33" s="258" t="s">
        <v>1764</v>
      </c>
    </row>
    <row r="34" spans="1:20" ht="17.25" customHeight="1" x14ac:dyDescent="0.2">
      <c r="A34" s="658" t="s">
        <v>17</v>
      </c>
      <c r="B34" s="658"/>
      <c r="C34" s="658"/>
      <c r="D34" s="658"/>
      <c r="E34" s="658"/>
      <c r="F34" s="658"/>
      <c r="G34" s="658"/>
      <c r="H34" s="658"/>
      <c r="I34" s="659" t="s">
        <v>104</v>
      </c>
      <c r="J34" s="659"/>
      <c r="K34" s="659"/>
      <c r="L34" s="659"/>
      <c r="M34" s="659"/>
      <c r="N34" s="659"/>
      <c r="O34" s="659"/>
      <c r="P34" s="659"/>
    </row>
    <row r="35" spans="1:20" ht="17.25" customHeight="1" x14ac:dyDescent="0.2">
      <c r="A35" s="649" t="s">
        <v>1733</v>
      </c>
      <c r="B35" s="649"/>
      <c r="C35" s="649"/>
      <c r="D35" s="649"/>
      <c r="E35" s="650" t="s">
        <v>1734</v>
      </c>
      <c r="F35" s="650"/>
      <c r="G35" s="650"/>
      <c r="H35" s="650"/>
      <c r="I35" s="649" t="s">
        <v>1733</v>
      </c>
      <c r="J35" s="649"/>
      <c r="K35" s="649"/>
      <c r="L35" s="649"/>
      <c r="M35" s="650" t="s">
        <v>1734</v>
      </c>
      <c r="N35" s="650"/>
      <c r="O35" s="650"/>
      <c r="P35" s="650"/>
    </row>
    <row r="36" spans="1:20" x14ac:dyDescent="0.2">
      <c r="A36" s="647"/>
      <c r="B36" s="251" t="s">
        <v>1735</v>
      </c>
      <c r="C36" s="251" t="s">
        <v>1739</v>
      </c>
      <c r="D36" s="251" t="s">
        <v>1737</v>
      </c>
      <c r="E36" s="251" t="s">
        <v>1738</v>
      </c>
      <c r="F36" s="251" t="s">
        <v>1736</v>
      </c>
      <c r="G36" s="251" t="s">
        <v>1740</v>
      </c>
      <c r="H36" s="647"/>
      <c r="I36" s="647"/>
      <c r="J36" s="251" t="s">
        <v>1735</v>
      </c>
      <c r="K36" s="251" t="s">
        <v>1739</v>
      </c>
      <c r="L36" s="251" t="s">
        <v>1737</v>
      </c>
      <c r="M36" s="251" t="s">
        <v>1738</v>
      </c>
      <c r="N36" s="251" t="s">
        <v>1736</v>
      </c>
      <c r="O36" s="251" t="s">
        <v>1740</v>
      </c>
      <c r="P36" s="647"/>
    </row>
    <row r="37" spans="1:20" ht="25" x14ac:dyDescent="0.2">
      <c r="A37" s="647"/>
      <c r="B37" s="252" t="s">
        <v>1741</v>
      </c>
      <c r="C37" s="252" t="s">
        <v>1745</v>
      </c>
      <c r="D37" s="252" t="s">
        <v>1743</v>
      </c>
      <c r="E37" s="252" t="s">
        <v>1744</v>
      </c>
      <c r="F37" s="252" t="s">
        <v>1742</v>
      </c>
      <c r="G37" s="252" t="s">
        <v>1746</v>
      </c>
      <c r="H37" s="647"/>
      <c r="I37" s="647"/>
      <c r="J37" s="252" t="s">
        <v>1741</v>
      </c>
      <c r="K37" s="252" t="s">
        <v>1745</v>
      </c>
      <c r="L37" s="252" t="s">
        <v>1743</v>
      </c>
      <c r="M37" s="252" t="s">
        <v>1744</v>
      </c>
      <c r="N37" s="252" t="s">
        <v>1742</v>
      </c>
      <c r="O37" s="252" t="s">
        <v>1746</v>
      </c>
      <c r="P37" s="647"/>
    </row>
    <row r="38" spans="1:20" ht="16" thickBot="1" x14ac:dyDescent="0.25">
      <c r="A38" s="257" t="s">
        <v>1765</v>
      </c>
      <c r="B38" s="259"/>
      <c r="C38" s="259"/>
      <c r="D38" s="259"/>
      <c r="E38" s="259"/>
      <c r="F38" s="259"/>
      <c r="G38" s="259"/>
      <c r="H38" s="258" t="s">
        <v>1766</v>
      </c>
      <c r="I38" s="257" t="s">
        <v>1765</v>
      </c>
      <c r="J38" s="259"/>
      <c r="K38" s="259"/>
      <c r="L38" s="259"/>
      <c r="M38" s="259"/>
      <c r="N38" s="259"/>
      <c r="O38" s="259"/>
      <c r="P38" s="258" t="s">
        <v>1766</v>
      </c>
    </row>
    <row r="39" spans="1:20" ht="16" thickBot="1" x14ac:dyDescent="0.25">
      <c r="A39" s="260" t="s">
        <v>1688</v>
      </c>
      <c r="B39" s="255"/>
      <c r="C39" s="255"/>
      <c r="D39" s="255"/>
      <c r="E39" s="255"/>
      <c r="F39" s="255"/>
      <c r="G39" s="255"/>
      <c r="H39" s="258" t="s">
        <v>1707</v>
      </c>
      <c r="I39" s="260" t="s">
        <v>1688</v>
      </c>
      <c r="J39" s="255"/>
      <c r="K39" s="255"/>
      <c r="L39" s="255"/>
      <c r="M39" s="255"/>
      <c r="N39" s="255"/>
      <c r="O39" s="255"/>
      <c r="P39" s="258" t="s">
        <v>1707</v>
      </c>
    </row>
    <row r="40" spans="1:20" ht="29" thickBot="1" x14ac:dyDescent="0.25">
      <c r="A40" s="261" t="s">
        <v>493</v>
      </c>
      <c r="B40" s="262"/>
      <c r="C40" s="262"/>
      <c r="D40" s="262"/>
      <c r="E40" s="262"/>
      <c r="F40" s="262"/>
      <c r="G40" s="262"/>
      <c r="H40" s="256" t="s">
        <v>494</v>
      </c>
      <c r="I40" s="261" t="s">
        <v>493</v>
      </c>
      <c r="J40" s="262"/>
      <c r="K40" s="262"/>
      <c r="L40" s="262"/>
      <c r="M40" s="262"/>
      <c r="N40" s="262"/>
      <c r="O40" s="262"/>
      <c r="P40" s="256" t="s">
        <v>494</v>
      </c>
    </row>
    <row r="41" spans="1:20" ht="16" thickBot="1" x14ac:dyDescent="0.25">
      <c r="A41" s="260" t="s">
        <v>1708</v>
      </c>
      <c r="B41" s="255"/>
      <c r="C41" s="255"/>
      <c r="D41" s="255"/>
      <c r="E41" s="255"/>
      <c r="F41" s="255"/>
      <c r="G41" s="255"/>
      <c r="H41" s="258" t="s">
        <v>1709</v>
      </c>
      <c r="I41" s="260" t="s">
        <v>1708</v>
      </c>
      <c r="J41" s="255"/>
      <c r="K41" s="255"/>
      <c r="L41" s="255"/>
      <c r="M41" s="255"/>
      <c r="N41" s="255"/>
      <c r="O41" s="255"/>
      <c r="P41" s="258" t="s">
        <v>1709</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baseColWidth="10" defaultColWidth="9.3984375" defaultRowHeight="15" x14ac:dyDescent="0.2"/>
  <cols>
    <col min="1" max="2" width="42.59765625" style="264" bestFit="1" customWidth="1" collapsed="1"/>
    <col min="3" max="7" width="30" style="264" bestFit="1" customWidth="1" collapsed="1"/>
    <col min="8" max="9" width="42.59765625" style="264" bestFit="1" customWidth="1" collapsed="1"/>
    <col min="10" max="10" width="23.796875" style="264" bestFit="1" customWidth="1" collapsed="1"/>
    <col min="11" max="11" width="31.19921875" style="264" bestFit="1" customWidth="1" collapsed="1"/>
    <col min="12" max="12" width="42.59765625" style="264" bestFit="1" customWidth="1" collapsed="1"/>
    <col min="13" max="15" width="30" style="264" bestFit="1" customWidth="1" collapsed="1"/>
    <col min="16" max="16" width="42.59765625" style="264" bestFit="1" customWidth="1" collapsed="1"/>
    <col min="17" max="17" width="30" style="264" bestFit="1" customWidth="1" collapsed="1"/>
    <col min="18" max="18" width="42.19921875" style="264" bestFit="1" customWidth="1" collapsed="1"/>
    <col min="19" max="19" width="26.3984375" style="264" bestFit="1" customWidth="1" collapsed="1"/>
    <col min="20" max="20" width="23.796875" style="264" bestFit="1" customWidth="1" collapsed="1"/>
    <col min="21" max="16384" width="9.3984375" style="264" collapsed="1"/>
  </cols>
  <sheetData>
    <row r="1" spans="1:20" ht="18" x14ac:dyDescent="0.2">
      <c r="A1" s="263" t="s">
        <v>1767</v>
      </c>
    </row>
    <row r="3" spans="1:20" ht="17.25" customHeight="1" x14ac:dyDescent="0.2">
      <c r="A3" s="663" t="s">
        <v>17</v>
      </c>
      <c r="B3" s="663"/>
      <c r="C3" s="663"/>
      <c r="D3" s="663"/>
      <c r="E3" s="663"/>
      <c r="F3" s="663"/>
      <c r="G3" s="663"/>
      <c r="H3" s="663"/>
      <c r="I3" s="663"/>
      <c r="J3" s="663"/>
      <c r="K3" s="664" t="s">
        <v>104</v>
      </c>
      <c r="L3" s="664"/>
      <c r="M3" s="664"/>
      <c r="N3" s="664"/>
      <c r="O3" s="664"/>
      <c r="P3" s="664"/>
      <c r="Q3" s="664"/>
      <c r="R3" s="664"/>
      <c r="S3" s="664"/>
      <c r="T3" s="664"/>
    </row>
    <row r="4" spans="1:20" ht="17.25" customHeight="1" x14ac:dyDescent="0.2">
      <c r="A4" s="663" t="s">
        <v>1768</v>
      </c>
      <c r="B4" s="663"/>
      <c r="C4" s="663"/>
      <c r="D4" s="663"/>
      <c r="E4" s="663"/>
      <c r="F4" s="664" t="s">
        <v>1769</v>
      </c>
      <c r="G4" s="664"/>
      <c r="H4" s="664"/>
      <c r="I4" s="664"/>
      <c r="J4" s="664"/>
      <c r="K4" s="663" t="s">
        <v>1768</v>
      </c>
      <c r="L4" s="663"/>
      <c r="M4" s="663"/>
      <c r="N4" s="663"/>
      <c r="O4" s="663"/>
      <c r="P4" s="664" t="s">
        <v>1769</v>
      </c>
      <c r="Q4" s="664"/>
      <c r="R4" s="664"/>
      <c r="S4" s="664"/>
      <c r="T4" s="664"/>
    </row>
    <row r="5" spans="1:20" x14ac:dyDescent="0.2">
      <c r="A5" s="660"/>
      <c r="B5" s="660"/>
      <c r="C5" s="666" t="s">
        <v>1714</v>
      </c>
      <c r="D5" s="666"/>
      <c r="E5" s="666"/>
      <c r="F5" s="666"/>
      <c r="G5" s="666"/>
      <c r="H5" s="666"/>
      <c r="I5" s="660"/>
      <c r="J5" s="660"/>
      <c r="K5" s="660"/>
      <c r="L5" s="660"/>
      <c r="M5" s="666" t="s">
        <v>1714</v>
      </c>
      <c r="N5" s="666"/>
      <c r="O5" s="666"/>
      <c r="P5" s="666"/>
      <c r="Q5" s="666"/>
      <c r="R5" s="666"/>
      <c r="S5" s="660"/>
      <c r="T5" s="660"/>
    </row>
    <row r="6" spans="1:20" x14ac:dyDescent="0.2">
      <c r="A6" s="660"/>
      <c r="B6" s="660"/>
      <c r="C6" s="665" t="s">
        <v>1716</v>
      </c>
      <c r="D6" s="665"/>
      <c r="E6" s="665"/>
      <c r="F6" s="665"/>
      <c r="G6" s="665"/>
      <c r="H6" s="665"/>
      <c r="I6" s="660"/>
      <c r="J6" s="660"/>
      <c r="K6" s="660"/>
      <c r="L6" s="660"/>
      <c r="M6" s="665" t="s">
        <v>1716</v>
      </c>
      <c r="N6" s="665"/>
      <c r="O6" s="665"/>
      <c r="P6" s="665"/>
      <c r="Q6" s="665"/>
      <c r="R6" s="665"/>
      <c r="S6" s="660"/>
      <c r="T6" s="660"/>
    </row>
    <row r="7" spans="1:20" x14ac:dyDescent="0.2">
      <c r="A7" s="660"/>
      <c r="B7" s="660"/>
      <c r="C7" s="265" t="s">
        <v>1735</v>
      </c>
      <c r="D7" s="265" t="s">
        <v>1736</v>
      </c>
      <c r="E7" s="265" t="s">
        <v>1737</v>
      </c>
      <c r="F7" s="265" t="s">
        <v>1738</v>
      </c>
      <c r="G7" s="265" t="s">
        <v>1739</v>
      </c>
      <c r="H7" s="265" t="s">
        <v>1740</v>
      </c>
      <c r="I7" s="660"/>
      <c r="J7" s="660"/>
      <c r="K7" s="660"/>
      <c r="L7" s="660"/>
      <c r="M7" s="265" t="s">
        <v>1735</v>
      </c>
      <c r="N7" s="265" t="s">
        <v>1736</v>
      </c>
      <c r="O7" s="265" t="s">
        <v>1737</v>
      </c>
      <c r="P7" s="265" t="s">
        <v>1738</v>
      </c>
      <c r="Q7" s="265" t="s">
        <v>1739</v>
      </c>
      <c r="R7" s="265" t="s">
        <v>1740</v>
      </c>
      <c r="S7" s="660"/>
      <c r="T7" s="660"/>
    </row>
    <row r="8" spans="1:20" x14ac:dyDescent="0.2">
      <c r="A8" s="660"/>
      <c r="B8" s="660"/>
      <c r="C8" s="266" t="s">
        <v>1741</v>
      </c>
      <c r="D8" s="266" t="s">
        <v>1742</v>
      </c>
      <c r="E8" s="266" t="s">
        <v>1743</v>
      </c>
      <c r="F8" s="266" t="s">
        <v>1744</v>
      </c>
      <c r="G8" s="266" t="s">
        <v>1745</v>
      </c>
      <c r="H8" s="266" t="s">
        <v>1746</v>
      </c>
      <c r="I8" s="660"/>
      <c r="J8" s="660"/>
      <c r="K8" s="660"/>
      <c r="L8" s="660"/>
      <c r="M8" s="266" t="s">
        <v>1741</v>
      </c>
      <c r="N8" s="266" t="s">
        <v>1742</v>
      </c>
      <c r="O8" s="266" t="s">
        <v>1743</v>
      </c>
      <c r="P8" s="266" t="s">
        <v>1744</v>
      </c>
      <c r="Q8" s="266" t="s">
        <v>1745</v>
      </c>
      <c r="R8" s="266" t="s">
        <v>1746</v>
      </c>
      <c r="S8" s="660"/>
      <c r="T8" s="660"/>
    </row>
    <row r="9" spans="1:20" ht="16" thickBot="1" x14ac:dyDescent="0.25">
      <c r="A9" s="667" t="s">
        <v>1691</v>
      </c>
      <c r="B9" s="267" t="s">
        <v>1747</v>
      </c>
      <c r="C9" s="268"/>
      <c r="D9" s="268"/>
      <c r="E9" s="268"/>
      <c r="F9" s="268"/>
      <c r="G9" s="268"/>
      <c r="H9" s="269"/>
      <c r="I9" s="669" t="s">
        <v>1691</v>
      </c>
      <c r="J9" s="270" t="s">
        <v>1748</v>
      </c>
      <c r="K9" s="667" t="s">
        <v>1691</v>
      </c>
      <c r="L9" s="267" t="s">
        <v>1747</v>
      </c>
      <c r="M9" s="268"/>
      <c r="N9" s="268"/>
      <c r="O9" s="268"/>
      <c r="P9" s="268"/>
      <c r="Q9" s="268"/>
      <c r="R9" s="269"/>
      <c r="S9" s="669" t="s">
        <v>1691</v>
      </c>
      <c r="T9" s="270" t="s">
        <v>1748</v>
      </c>
    </row>
    <row r="10" spans="1:20" ht="16" thickBot="1" x14ac:dyDescent="0.25">
      <c r="A10" s="667"/>
      <c r="B10" s="267" t="s">
        <v>1749</v>
      </c>
      <c r="C10" s="268"/>
      <c r="D10" s="268"/>
      <c r="E10" s="268"/>
      <c r="F10" s="268"/>
      <c r="G10" s="268"/>
      <c r="H10" s="269"/>
      <c r="I10" s="669"/>
      <c r="J10" s="270" t="s">
        <v>1750</v>
      </c>
      <c r="K10" s="667"/>
      <c r="L10" s="267" t="s">
        <v>1749</v>
      </c>
      <c r="M10" s="268"/>
      <c r="N10" s="268"/>
      <c r="O10" s="268"/>
      <c r="P10" s="268"/>
      <c r="Q10" s="268"/>
      <c r="R10" s="269"/>
      <c r="S10" s="669"/>
      <c r="T10" s="270" t="s">
        <v>1750</v>
      </c>
    </row>
    <row r="11" spans="1:20" ht="16" thickBot="1" x14ac:dyDescent="0.25">
      <c r="A11" s="667"/>
      <c r="B11" s="267" t="s">
        <v>1751</v>
      </c>
      <c r="C11" s="268"/>
      <c r="D11" s="268"/>
      <c r="E11" s="268"/>
      <c r="F11" s="268"/>
      <c r="G11" s="268"/>
      <c r="H11" s="269"/>
      <c r="I11" s="669"/>
      <c r="J11" s="270" t="s">
        <v>1752</v>
      </c>
      <c r="K11" s="667"/>
      <c r="L11" s="267" t="s">
        <v>1751</v>
      </c>
      <c r="M11" s="268"/>
      <c r="N11" s="268"/>
      <c r="O11" s="268"/>
      <c r="P11" s="268"/>
      <c r="Q11" s="268"/>
      <c r="R11" s="269"/>
      <c r="S11" s="669"/>
      <c r="T11" s="270" t="s">
        <v>1752</v>
      </c>
    </row>
    <row r="12" spans="1:20" ht="16" thickBot="1" x14ac:dyDescent="0.25">
      <c r="A12" s="667"/>
      <c r="B12" s="267" t="s">
        <v>1753</v>
      </c>
      <c r="C12" s="268"/>
      <c r="D12" s="268"/>
      <c r="E12" s="268"/>
      <c r="F12" s="268"/>
      <c r="G12" s="268"/>
      <c r="H12" s="269"/>
      <c r="I12" s="669"/>
      <c r="J12" s="270" t="s">
        <v>1754</v>
      </c>
      <c r="K12" s="667"/>
      <c r="L12" s="267" t="s">
        <v>1753</v>
      </c>
      <c r="M12" s="268"/>
      <c r="N12" s="268"/>
      <c r="O12" s="268"/>
      <c r="P12" s="268"/>
      <c r="Q12" s="268"/>
      <c r="R12" s="269"/>
      <c r="S12" s="669"/>
      <c r="T12" s="270" t="s">
        <v>1754</v>
      </c>
    </row>
    <row r="13" spans="1:20" ht="16" thickBot="1" x14ac:dyDescent="0.25">
      <c r="A13" s="667"/>
      <c r="B13" s="267" t="s">
        <v>1755</v>
      </c>
      <c r="C13" s="268"/>
      <c r="D13" s="268"/>
      <c r="E13" s="268"/>
      <c r="F13" s="268"/>
      <c r="G13" s="268"/>
      <c r="H13" s="269"/>
      <c r="I13" s="669"/>
      <c r="J13" s="270" t="s">
        <v>1756</v>
      </c>
      <c r="K13" s="667"/>
      <c r="L13" s="267" t="s">
        <v>1755</v>
      </c>
      <c r="M13" s="268"/>
      <c r="N13" s="268"/>
      <c r="O13" s="268"/>
      <c r="P13" s="268"/>
      <c r="Q13" s="268"/>
      <c r="R13" s="269"/>
      <c r="S13" s="669"/>
      <c r="T13" s="270" t="s">
        <v>1756</v>
      </c>
    </row>
    <row r="14" spans="1:20" ht="16" thickBot="1" x14ac:dyDescent="0.25">
      <c r="A14" s="667"/>
      <c r="B14" s="267" t="s">
        <v>1757</v>
      </c>
      <c r="C14" s="268"/>
      <c r="D14" s="268"/>
      <c r="E14" s="268"/>
      <c r="F14" s="268"/>
      <c r="G14" s="268"/>
      <c r="H14" s="269"/>
      <c r="I14" s="669"/>
      <c r="J14" s="270" t="s">
        <v>1758</v>
      </c>
      <c r="K14" s="667"/>
      <c r="L14" s="267" t="s">
        <v>1757</v>
      </c>
      <c r="M14" s="268"/>
      <c r="N14" s="268"/>
      <c r="O14" s="268"/>
      <c r="P14" s="268"/>
      <c r="Q14" s="268"/>
      <c r="R14" s="269"/>
      <c r="S14" s="669"/>
      <c r="T14" s="270" t="s">
        <v>1758</v>
      </c>
    </row>
    <row r="15" spans="1:20" ht="16" thickBot="1" x14ac:dyDescent="0.25">
      <c r="A15" s="667"/>
      <c r="B15" s="267" t="s">
        <v>1759</v>
      </c>
      <c r="C15" s="268"/>
      <c r="D15" s="268"/>
      <c r="E15" s="268"/>
      <c r="F15" s="268"/>
      <c r="G15" s="268"/>
      <c r="H15" s="269"/>
      <c r="I15" s="669"/>
      <c r="J15" s="270" t="s">
        <v>1760</v>
      </c>
      <c r="K15" s="667"/>
      <c r="L15" s="267" t="s">
        <v>1759</v>
      </c>
      <c r="M15" s="268"/>
      <c r="N15" s="268"/>
      <c r="O15" s="268"/>
      <c r="P15" s="268"/>
      <c r="Q15" s="268"/>
      <c r="R15" s="269"/>
      <c r="S15" s="669"/>
      <c r="T15" s="270" t="s">
        <v>1760</v>
      </c>
    </row>
    <row r="16" spans="1:20" ht="16" thickBot="1" x14ac:dyDescent="0.25">
      <c r="A16" s="667"/>
      <c r="B16" s="267" t="s">
        <v>1761</v>
      </c>
      <c r="C16" s="268"/>
      <c r="D16" s="268"/>
      <c r="E16" s="268"/>
      <c r="F16" s="268"/>
      <c r="G16" s="268"/>
      <c r="H16" s="269"/>
      <c r="I16" s="669"/>
      <c r="J16" s="270" t="s">
        <v>1762</v>
      </c>
      <c r="K16" s="667"/>
      <c r="L16" s="267" t="s">
        <v>1761</v>
      </c>
      <c r="M16" s="268"/>
      <c r="N16" s="268"/>
      <c r="O16" s="268"/>
      <c r="P16" s="268"/>
      <c r="Q16" s="268"/>
      <c r="R16" s="269"/>
      <c r="S16" s="669"/>
      <c r="T16" s="270" t="s">
        <v>1762</v>
      </c>
    </row>
    <row r="17" spans="1:20" ht="16" thickBot="1" x14ac:dyDescent="0.25">
      <c r="A17" s="668"/>
      <c r="B17" s="271" t="s">
        <v>1763</v>
      </c>
      <c r="C17" s="269"/>
      <c r="D17" s="269"/>
      <c r="E17" s="269"/>
      <c r="F17" s="269"/>
      <c r="G17" s="269"/>
      <c r="H17" s="269"/>
      <c r="I17" s="670"/>
      <c r="J17" s="270" t="s">
        <v>1764</v>
      </c>
      <c r="K17" s="668"/>
      <c r="L17" s="271" t="s">
        <v>1763</v>
      </c>
      <c r="M17" s="269"/>
      <c r="N17" s="269"/>
      <c r="O17" s="269"/>
      <c r="P17" s="269"/>
      <c r="Q17" s="269"/>
      <c r="R17" s="269"/>
      <c r="S17" s="670"/>
      <c r="T17" s="270" t="s">
        <v>1764</v>
      </c>
    </row>
    <row r="18" spans="1:20" ht="16" thickBot="1" x14ac:dyDescent="0.25">
      <c r="A18" s="671" t="s">
        <v>1694</v>
      </c>
      <c r="B18" s="267" t="s">
        <v>1747</v>
      </c>
      <c r="C18" s="268"/>
      <c r="D18" s="268"/>
      <c r="E18" s="268"/>
      <c r="F18" s="268"/>
      <c r="G18" s="268"/>
      <c r="H18" s="269"/>
      <c r="I18" s="672" t="s">
        <v>1695</v>
      </c>
      <c r="J18" s="270" t="s">
        <v>1748</v>
      </c>
      <c r="K18" s="671" t="s">
        <v>1694</v>
      </c>
      <c r="L18" s="267" t="s">
        <v>1747</v>
      </c>
      <c r="M18" s="268"/>
      <c r="N18" s="268"/>
      <c r="O18" s="268"/>
      <c r="P18" s="268"/>
      <c r="Q18" s="268"/>
      <c r="R18" s="269"/>
      <c r="S18" s="672" t="s">
        <v>1695</v>
      </c>
      <c r="T18" s="270" t="s">
        <v>1748</v>
      </c>
    </row>
    <row r="19" spans="1:20" ht="16" thickBot="1" x14ac:dyDescent="0.25">
      <c r="A19" s="667"/>
      <c r="B19" s="267" t="s">
        <v>1749</v>
      </c>
      <c r="C19" s="268"/>
      <c r="D19" s="268"/>
      <c r="E19" s="268"/>
      <c r="F19" s="268"/>
      <c r="G19" s="268"/>
      <c r="H19" s="269"/>
      <c r="I19" s="669"/>
      <c r="J19" s="270" t="s">
        <v>1750</v>
      </c>
      <c r="K19" s="667"/>
      <c r="L19" s="267" t="s">
        <v>1749</v>
      </c>
      <c r="M19" s="268"/>
      <c r="N19" s="268"/>
      <c r="O19" s="268"/>
      <c r="P19" s="268"/>
      <c r="Q19" s="268"/>
      <c r="R19" s="269"/>
      <c r="S19" s="669"/>
      <c r="T19" s="270" t="s">
        <v>1750</v>
      </c>
    </row>
    <row r="20" spans="1:20" ht="16" thickBot="1" x14ac:dyDescent="0.25">
      <c r="A20" s="667"/>
      <c r="B20" s="267" t="s">
        <v>1751</v>
      </c>
      <c r="C20" s="268"/>
      <c r="D20" s="268"/>
      <c r="E20" s="268"/>
      <c r="F20" s="268"/>
      <c r="G20" s="268"/>
      <c r="H20" s="269"/>
      <c r="I20" s="669"/>
      <c r="J20" s="270" t="s">
        <v>1752</v>
      </c>
      <c r="K20" s="667"/>
      <c r="L20" s="267" t="s">
        <v>1751</v>
      </c>
      <c r="M20" s="268"/>
      <c r="N20" s="268"/>
      <c r="O20" s="268"/>
      <c r="P20" s="268"/>
      <c r="Q20" s="268"/>
      <c r="R20" s="269"/>
      <c r="S20" s="669"/>
      <c r="T20" s="270" t="s">
        <v>1752</v>
      </c>
    </row>
    <row r="21" spans="1:20" ht="16" thickBot="1" x14ac:dyDescent="0.25">
      <c r="A21" s="667"/>
      <c r="B21" s="267" t="s">
        <v>1753</v>
      </c>
      <c r="C21" s="268"/>
      <c r="D21" s="268"/>
      <c r="E21" s="268"/>
      <c r="F21" s="268"/>
      <c r="G21" s="268"/>
      <c r="H21" s="269"/>
      <c r="I21" s="669"/>
      <c r="J21" s="270" t="s">
        <v>1754</v>
      </c>
      <c r="K21" s="667"/>
      <c r="L21" s="267" t="s">
        <v>1753</v>
      </c>
      <c r="M21" s="268"/>
      <c r="N21" s="268"/>
      <c r="O21" s="268"/>
      <c r="P21" s="268"/>
      <c r="Q21" s="268"/>
      <c r="R21" s="269"/>
      <c r="S21" s="669"/>
      <c r="T21" s="270" t="s">
        <v>1754</v>
      </c>
    </row>
    <row r="22" spans="1:20" ht="16" thickBot="1" x14ac:dyDescent="0.25">
      <c r="A22" s="667"/>
      <c r="B22" s="267" t="s">
        <v>1755</v>
      </c>
      <c r="C22" s="268"/>
      <c r="D22" s="268"/>
      <c r="E22" s="268"/>
      <c r="F22" s="268"/>
      <c r="G22" s="268"/>
      <c r="H22" s="269"/>
      <c r="I22" s="669"/>
      <c r="J22" s="270" t="s">
        <v>1756</v>
      </c>
      <c r="K22" s="667"/>
      <c r="L22" s="267" t="s">
        <v>1755</v>
      </c>
      <c r="M22" s="268"/>
      <c r="N22" s="268"/>
      <c r="O22" s="268"/>
      <c r="P22" s="268"/>
      <c r="Q22" s="268"/>
      <c r="R22" s="269"/>
      <c r="S22" s="669"/>
      <c r="T22" s="270" t="s">
        <v>1756</v>
      </c>
    </row>
    <row r="23" spans="1:20" ht="16" thickBot="1" x14ac:dyDescent="0.25">
      <c r="A23" s="667"/>
      <c r="B23" s="267" t="s">
        <v>1757</v>
      </c>
      <c r="C23" s="268"/>
      <c r="D23" s="268"/>
      <c r="E23" s="268"/>
      <c r="F23" s="268"/>
      <c r="G23" s="268"/>
      <c r="H23" s="269"/>
      <c r="I23" s="669"/>
      <c r="J23" s="270" t="s">
        <v>1758</v>
      </c>
      <c r="K23" s="667"/>
      <c r="L23" s="267" t="s">
        <v>1757</v>
      </c>
      <c r="M23" s="268"/>
      <c r="N23" s="268"/>
      <c r="O23" s="268"/>
      <c r="P23" s="268"/>
      <c r="Q23" s="268"/>
      <c r="R23" s="269"/>
      <c r="S23" s="669"/>
      <c r="T23" s="270" t="s">
        <v>1758</v>
      </c>
    </row>
    <row r="24" spans="1:20" ht="16" thickBot="1" x14ac:dyDescent="0.25">
      <c r="A24" s="667"/>
      <c r="B24" s="267" t="s">
        <v>1759</v>
      </c>
      <c r="C24" s="268"/>
      <c r="D24" s="268"/>
      <c r="E24" s="268"/>
      <c r="F24" s="268"/>
      <c r="G24" s="268"/>
      <c r="H24" s="269"/>
      <c r="I24" s="669"/>
      <c r="J24" s="270" t="s">
        <v>1760</v>
      </c>
      <c r="K24" s="667"/>
      <c r="L24" s="267" t="s">
        <v>1759</v>
      </c>
      <c r="M24" s="268"/>
      <c r="N24" s="268"/>
      <c r="O24" s="268"/>
      <c r="P24" s="268"/>
      <c r="Q24" s="268"/>
      <c r="R24" s="269"/>
      <c r="S24" s="669"/>
      <c r="T24" s="270" t="s">
        <v>1760</v>
      </c>
    </row>
    <row r="25" spans="1:20" ht="16" thickBot="1" x14ac:dyDescent="0.25">
      <c r="A25" s="667"/>
      <c r="B25" s="267" t="s">
        <v>1761</v>
      </c>
      <c r="C25" s="268"/>
      <c r="D25" s="268"/>
      <c r="E25" s="268"/>
      <c r="F25" s="268"/>
      <c r="G25" s="268"/>
      <c r="H25" s="269"/>
      <c r="I25" s="669"/>
      <c r="J25" s="270" t="s">
        <v>1762</v>
      </c>
      <c r="K25" s="667"/>
      <c r="L25" s="267" t="s">
        <v>1761</v>
      </c>
      <c r="M25" s="268"/>
      <c r="N25" s="268"/>
      <c r="O25" s="268"/>
      <c r="P25" s="268"/>
      <c r="Q25" s="268"/>
      <c r="R25" s="269"/>
      <c r="S25" s="669"/>
      <c r="T25" s="270" t="s">
        <v>1762</v>
      </c>
    </row>
    <row r="26" spans="1:20" ht="16" thickBot="1" x14ac:dyDescent="0.25">
      <c r="A26" s="668"/>
      <c r="B26" s="271" t="s">
        <v>1763</v>
      </c>
      <c r="C26" s="269"/>
      <c r="D26" s="269"/>
      <c r="E26" s="269"/>
      <c r="F26" s="269"/>
      <c r="G26" s="269"/>
      <c r="H26" s="269"/>
      <c r="I26" s="670"/>
      <c r="J26" s="270" t="s">
        <v>1764</v>
      </c>
      <c r="K26" s="668"/>
      <c r="L26" s="271" t="s">
        <v>1763</v>
      </c>
      <c r="M26" s="269"/>
      <c r="N26" s="269"/>
      <c r="O26" s="269"/>
      <c r="P26" s="269"/>
      <c r="Q26" s="269"/>
      <c r="R26" s="269"/>
      <c r="S26" s="670"/>
      <c r="T26" s="270" t="s">
        <v>1764</v>
      </c>
    </row>
    <row r="27" spans="1:20" ht="17.25" customHeight="1" x14ac:dyDescent="0.2">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x14ac:dyDescent="0.2">
      <c r="A28" s="663" t="s">
        <v>1768</v>
      </c>
      <c r="B28" s="663"/>
      <c r="C28" s="663"/>
      <c r="D28" s="663"/>
      <c r="E28" s="663"/>
      <c r="F28" s="664" t="s">
        <v>1769</v>
      </c>
      <c r="G28" s="664"/>
      <c r="H28" s="664"/>
      <c r="I28" s="664"/>
      <c r="J28" s="664"/>
      <c r="K28" s="663" t="s">
        <v>1768</v>
      </c>
      <c r="L28" s="663"/>
      <c r="M28" s="663"/>
      <c r="N28" s="663"/>
      <c r="O28" s="663"/>
      <c r="P28" s="664" t="s">
        <v>1769</v>
      </c>
      <c r="Q28" s="664"/>
      <c r="R28" s="664"/>
      <c r="S28" s="664"/>
      <c r="T28" s="664"/>
    </row>
    <row r="29" spans="1:20" x14ac:dyDescent="0.2">
      <c r="A29" s="660"/>
      <c r="B29" s="660"/>
      <c r="C29" s="666" t="s">
        <v>1714</v>
      </c>
      <c r="D29" s="666"/>
      <c r="E29" s="666"/>
      <c r="F29" s="666"/>
      <c r="G29" s="666"/>
      <c r="H29" s="666"/>
      <c r="I29" s="660"/>
      <c r="J29" s="660"/>
      <c r="K29" s="660"/>
      <c r="L29" s="660"/>
      <c r="M29" s="666" t="s">
        <v>1714</v>
      </c>
      <c r="N29" s="666"/>
      <c r="O29" s="666"/>
      <c r="P29" s="666"/>
      <c r="Q29" s="666"/>
      <c r="R29" s="666"/>
      <c r="S29" s="660"/>
      <c r="T29" s="660"/>
    </row>
    <row r="30" spans="1:20" x14ac:dyDescent="0.2">
      <c r="A30" s="660"/>
      <c r="B30" s="660"/>
      <c r="C30" s="665" t="s">
        <v>1716</v>
      </c>
      <c r="D30" s="665"/>
      <c r="E30" s="665"/>
      <c r="F30" s="665"/>
      <c r="G30" s="665"/>
      <c r="H30" s="665"/>
      <c r="I30" s="660"/>
      <c r="J30" s="660"/>
      <c r="K30" s="660"/>
      <c r="L30" s="660"/>
      <c r="M30" s="665" t="s">
        <v>1716</v>
      </c>
      <c r="N30" s="665"/>
      <c r="O30" s="665"/>
      <c r="P30" s="665"/>
      <c r="Q30" s="665"/>
      <c r="R30" s="665"/>
      <c r="S30" s="660"/>
      <c r="T30" s="660"/>
    </row>
    <row r="31" spans="1:20" x14ac:dyDescent="0.2">
      <c r="A31" s="660"/>
      <c r="B31" s="660"/>
      <c r="C31" s="265" t="s">
        <v>1735</v>
      </c>
      <c r="D31" s="265" t="s">
        <v>1736</v>
      </c>
      <c r="E31" s="265" t="s">
        <v>1737</v>
      </c>
      <c r="F31" s="265" t="s">
        <v>1738</v>
      </c>
      <c r="G31" s="265" t="s">
        <v>1739</v>
      </c>
      <c r="H31" s="265" t="s">
        <v>1740</v>
      </c>
      <c r="I31" s="660"/>
      <c r="J31" s="660"/>
      <c r="K31" s="660"/>
      <c r="L31" s="660"/>
      <c r="M31" s="265" t="s">
        <v>1735</v>
      </c>
      <c r="N31" s="265" t="s">
        <v>1736</v>
      </c>
      <c r="O31" s="265" t="s">
        <v>1737</v>
      </c>
      <c r="P31" s="265" t="s">
        <v>1738</v>
      </c>
      <c r="Q31" s="265" t="s">
        <v>1739</v>
      </c>
      <c r="R31" s="265" t="s">
        <v>1740</v>
      </c>
      <c r="S31" s="660"/>
      <c r="T31" s="660"/>
    </row>
    <row r="32" spans="1:20" x14ac:dyDescent="0.2">
      <c r="A32" s="660"/>
      <c r="B32" s="660"/>
      <c r="C32" s="266" t="s">
        <v>1741</v>
      </c>
      <c r="D32" s="266" t="s">
        <v>1742</v>
      </c>
      <c r="E32" s="266" t="s">
        <v>1743</v>
      </c>
      <c r="F32" s="266" t="s">
        <v>1744</v>
      </c>
      <c r="G32" s="266" t="s">
        <v>1745</v>
      </c>
      <c r="H32" s="266" t="s">
        <v>1746</v>
      </c>
      <c r="I32" s="660"/>
      <c r="J32" s="660"/>
      <c r="K32" s="660"/>
      <c r="L32" s="660"/>
      <c r="M32" s="266" t="s">
        <v>1741</v>
      </c>
      <c r="N32" s="266" t="s">
        <v>1742</v>
      </c>
      <c r="O32" s="266" t="s">
        <v>1743</v>
      </c>
      <c r="P32" s="266" t="s">
        <v>1744</v>
      </c>
      <c r="Q32" s="266" t="s">
        <v>1745</v>
      </c>
      <c r="R32" s="266" t="s">
        <v>1746</v>
      </c>
      <c r="S32" s="660"/>
      <c r="T32" s="660"/>
    </row>
    <row r="33" spans="1:20" ht="16" thickBot="1" x14ac:dyDescent="0.25">
      <c r="A33" s="267" t="s">
        <v>1696</v>
      </c>
      <c r="B33" s="271" t="s">
        <v>1763</v>
      </c>
      <c r="C33" s="269"/>
      <c r="D33" s="269"/>
      <c r="E33" s="269"/>
      <c r="F33" s="269"/>
      <c r="G33" s="269"/>
      <c r="H33" s="269"/>
      <c r="I33" s="270" t="s">
        <v>1697</v>
      </c>
      <c r="J33" s="270" t="s">
        <v>1764</v>
      </c>
      <c r="K33" s="267" t="s">
        <v>1696</v>
      </c>
      <c r="L33" s="271" t="s">
        <v>1763</v>
      </c>
      <c r="M33" s="269"/>
      <c r="N33" s="269"/>
      <c r="O33" s="269"/>
      <c r="P33" s="269"/>
      <c r="Q33" s="269"/>
      <c r="R33" s="269"/>
      <c r="S33" s="270" t="s">
        <v>1697</v>
      </c>
      <c r="T33" s="270" t="s">
        <v>1764</v>
      </c>
    </row>
    <row r="34" spans="1:20" ht="17.25" customHeight="1" x14ac:dyDescent="0.2">
      <c r="A34" s="661" t="s">
        <v>17</v>
      </c>
      <c r="B34" s="661"/>
      <c r="C34" s="661"/>
      <c r="D34" s="661"/>
      <c r="E34" s="661"/>
      <c r="F34" s="661"/>
      <c r="G34" s="661"/>
      <c r="H34" s="661"/>
      <c r="I34" s="662" t="s">
        <v>104</v>
      </c>
      <c r="J34" s="662"/>
      <c r="K34" s="662"/>
      <c r="L34" s="662"/>
      <c r="M34" s="662"/>
      <c r="N34" s="662"/>
      <c r="O34" s="662"/>
      <c r="P34" s="662"/>
    </row>
    <row r="35" spans="1:20" ht="17.25" customHeight="1" x14ac:dyDescent="0.2">
      <c r="A35" s="663" t="s">
        <v>1768</v>
      </c>
      <c r="B35" s="663"/>
      <c r="C35" s="663"/>
      <c r="D35" s="663"/>
      <c r="E35" s="664" t="s">
        <v>1769</v>
      </c>
      <c r="F35" s="664"/>
      <c r="G35" s="664"/>
      <c r="H35" s="664"/>
      <c r="I35" s="663" t="s">
        <v>1768</v>
      </c>
      <c r="J35" s="663"/>
      <c r="K35" s="663"/>
      <c r="L35" s="663"/>
      <c r="M35" s="664" t="s">
        <v>1769</v>
      </c>
      <c r="N35" s="664"/>
      <c r="O35" s="664"/>
      <c r="P35" s="664"/>
    </row>
    <row r="36" spans="1:20" x14ac:dyDescent="0.2">
      <c r="A36" s="660"/>
      <c r="B36" s="265" t="s">
        <v>1735</v>
      </c>
      <c r="C36" s="265" t="s">
        <v>1739</v>
      </c>
      <c r="D36" s="265" t="s">
        <v>1737</v>
      </c>
      <c r="E36" s="265" t="s">
        <v>1738</v>
      </c>
      <c r="F36" s="265" t="s">
        <v>1736</v>
      </c>
      <c r="G36" s="265" t="s">
        <v>1740</v>
      </c>
      <c r="H36" s="660"/>
      <c r="I36" s="660"/>
      <c r="J36" s="265" t="s">
        <v>1735</v>
      </c>
      <c r="K36" s="265" t="s">
        <v>1739</v>
      </c>
      <c r="L36" s="265" t="s">
        <v>1737</v>
      </c>
      <c r="M36" s="265" t="s">
        <v>1738</v>
      </c>
      <c r="N36" s="265" t="s">
        <v>1736</v>
      </c>
      <c r="O36" s="265" t="s">
        <v>1740</v>
      </c>
      <c r="P36" s="660"/>
    </row>
    <row r="37" spans="1:20" ht="25" x14ac:dyDescent="0.2">
      <c r="A37" s="660"/>
      <c r="B37" s="266" t="s">
        <v>1741</v>
      </c>
      <c r="C37" s="266" t="s">
        <v>1745</v>
      </c>
      <c r="D37" s="266" t="s">
        <v>1743</v>
      </c>
      <c r="E37" s="266" t="s">
        <v>1744</v>
      </c>
      <c r="F37" s="266" t="s">
        <v>1742</v>
      </c>
      <c r="G37" s="266" t="s">
        <v>1746</v>
      </c>
      <c r="H37" s="660"/>
      <c r="I37" s="660"/>
      <c r="J37" s="266" t="s">
        <v>1741</v>
      </c>
      <c r="K37" s="266" t="s">
        <v>1745</v>
      </c>
      <c r="L37" s="266" t="s">
        <v>1743</v>
      </c>
      <c r="M37" s="266" t="s">
        <v>1744</v>
      </c>
      <c r="N37" s="266" t="s">
        <v>1742</v>
      </c>
      <c r="O37" s="266" t="s">
        <v>1746</v>
      </c>
      <c r="P37" s="660"/>
    </row>
    <row r="38" spans="1:20" ht="29" thickBot="1" x14ac:dyDescent="0.25">
      <c r="A38" s="271" t="s">
        <v>1770</v>
      </c>
      <c r="B38" s="272"/>
      <c r="C38" s="272"/>
      <c r="D38" s="272"/>
      <c r="E38" s="272"/>
      <c r="F38" s="272"/>
      <c r="G38" s="272"/>
      <c r="H38" s="273" t="s">
        <v>1771</v>
      </c>
      <c r="I38" s="271" t="s">
        <v>1770</v>
      </c>
      <c r="J38" s="272"/>
      <c r="K38" s="272"/>
      <c r="L38" s="272"/>
      <c r="M38" s="272"/>
      <c r="N38" s="272"/>
      <c r="O38" s="272"/>
      <c r="P38" s="273" t="s">
        <v>1771</v>
      </c>
    </row>
    <row r="39" spans="1:20" ht="16" thickBot="1" x14ac:dyDescent="0.25">
      <c r="A39" s="274" t="s">
        <v>1714</v>
      </c>
      <c r="B39" s="269"/>
      <c r="C39" s="269"/>
      <c r="D39" s="269"/>
      <c r="E39" s="269"/>
      <c r="F39" s="269"/>
      <c r="G39" s="269"/>
      <c r="H39" s="273" t="s">
        <v>1716</v>
      </c>
      <c r="I39" s="274" t="s">
        <v>1714</v>
      </c>
      <c r="J39" s="269"/>
      <c r="K39" s="269"/>
      <c r="L39" s="269"/>
      <c r="M39" s="269"/>
      <c r="N39" s="269"/>
      <c r="O39" s="269"/>
      <c r="P39" s="273" t="s">
        <v>1716</v>
      </c>
    </row>
    <row r="40" spans="1:20" ht="29" thickBot="1" x14ac:dyDescent="0.25">
      <c r="A40" s="275" t="s">
        <v>511</v>
      </c>
      <c r="B40" s="276"/>
      <c r="C40" s="276"/>
      <c r="D40" s="276"/>
      <c r="E40" s="276"/>
      <c r="F40" s="276"/>
      <c r="G40" s="276"/>
      <c r="H40" s="270" t="s">
        <v>512</v>
      </c>
      <c r="I40" s="275" t="s">
        <v>511</v>
      </c>
      <c r="J40" s="276"/>
      <c r="K40" s="276"/>
      <c r="L40" s="276"/>
      <c r="M40" s="276"/>
      <c r="N40" s="276"/>
      <c r="O40" s="276"/>
      <c r="P40" s="270" t="s">
        <v>512</v>
      </c>
    </row>
    <row r="41" spans="1:20" ht="29" thickBot="1" x14ac:dyDescent="0.25">
      <c r="A41" s="275" t="s">
        <v>519</v>
      </c>
      <c r="B41" s="276"/>
      <c r="C41" s="276"/>
      <c r="D41" s="276"/>
      <c r="E41" s="276"/>
      <c r="F41" s="276"/>
      <c r="G41" s="276"/>
      <c r="H41" s="270" t="s">
        <v>520</v>
      </c>
      <c r="I41" s="275" t="s">
        <v>519</v>
      </c>
      <c r="J41" s="276"/>
      <c r="K41" s="276"/>
      <c r="L41" s="276"/>
      <c r="M41" s="276"/>
      <c r="N41" s="276"/>
      <c r="O41" s="276"/>
      <c r="P41" s="270" t="s">
        <v>520</v>
      </c>
    </row>
    <row r="42" spans="1:20" ht="29" thickBot="1" x14ac:dyDescent="0.25">
      <c r="A42" s="275" t="s">
        <v>527</v>
      </c>
      <c r="B42" s="276"/>
      <c r="C42" s="276"/>
      <c r="D42" s="276"/>
      <c r="E42" s="276"/>
      <c r="F42" s="276"/>
      <c r="G42" s="276"/>
      <c r="H42" s="270" t="s">
        <v>528</v>
      </c>
      <c r="I42" s="275" t="s">
        <v>527</v>
      </c>
      <c r="J42" s="276"/>
      <c r="K42" s="276"/>
      <c r="L42" s="276"/>
      <c r="M42" s="276"/>
      <c r="N42" s="276"/>
      <c r="O42" s="276"/>
      <c r="P42" s="270" t="s">
        <v>528</v>
      </c>
    </row>
    <row r="43" spans="1:20" ht="29" thickBot="1" x14ac:dyDescent="0.25">
      <c r="A43" s="275" t="s">
        <v>543</v>
      </c>
      <c r="B43" s="276"/>
      <c r="C43" s="276"/>
      <c r="D43" s="276"/>
      <c r="E43" s="276"/>
      <c r="F43" s="276"/>
      <c r="G43" s="276"/>
      <c r="H43" s="270" t="s">
        <v>544</v>
      </c>
      <c r="I43" s="275" t="s">
        <v>543</v>
      </c>
      <c r="J43" s="276"/>
      <c r="K43" s="276"/>
      <c r="L43" s="276"/>
      <c r="M43" s="276"/>
      <c r="N43" s="276"/>
      <c r="O43" s="276"/>
      <c r="P43" s="270" t="s">
        <v>544</v>
      </c>
    </row>
    <row r="44" spans="1:20" ht="29" thickBot="1" x14ac:dyDescent="0.25">
      <c r="A44" s="275" t="s">
        <v>551</v>
      </c>
      <c r="B44" s="276"/>
      <c r="C44" s="276"/>
      <c r="D44" s="276"/>
      <c r="E44" s="276"/>
      <c r="F44" s="276"/>
      <c r="G44" s="276"/>
      <c r="H44" s="270" t="s">
        <v>552</v>
      </c>
      <c r="I44" s="275" t="s">
        <v>551</v>
      </c>
      <c r="J44" s="276"/>
      <c r="K44" s="276"/>
      <c r="L44" s="276"/>
      <c r="M44" s="276"/>
      <c r="N44" s="276"/>
      <c r="O44" s="276"/>
      <c r="P44" s="270" t="s">
        <v>552</v>
      </c>
    </row>
    <row r="45" spans="1:20" ht="29" thickBot="1" x14ac:dyDescent="0.25">
      <c r="A45" s="275" t="s">
        <v>559</v>
      </c>
      <c r="B45" s="276"/>
      <c r="C45" s="276"/>
      <c r="D45" s="276"/>
      <c r="E45" s="276"/>
      <c r="F45" s="276"/>
      <c r="G45" s="276"/>
      <c r="H45" s="270" t="s">
        <v>560</v>
      </c>
      <c r="I45" s="275" t="s">
        <v>559</v>
      </c>
      <c r="J45" s="276"/>
      <c r="K45" s="276"/>
      <c r="L45" s="276"/>
      <c r="M45" s="276"/>
      <c r="N45" s="276"/>
      <c r="O45" s="276"/>
      <c r="P45" s="270" t="s">
        <v>560</v>
      </c>
    </row>
    <row r="46" spans="1:20" ht="16" thickBot="1" x14ac:dyDescent="0.25">
      <c r="A46" s="274" t="s">
        <v>1717</v>
      </c>
      <c r="B46" s="269"/>
      <c r="C46" s="269"/>
      <c r="D46" s="269"/>
      <c r="E46" s="269"/>
      <c r="F46" s="269"/>
      <c r="G46" s="269"/>
      <c r="H46" s="273" t="s">
        <v>1718</v>
      </c>
      <c r="I46" s="274" t="s">
        <v>1717</v>
      </c>
      <c r="J46" s="269"/>
      <c r="K46" s="269"/>
      <c r="L46" s="269"/>
      <c r="M46" s="269"/>
      <c r="N46" s="269"/>
      <c r="O46" s="269"/>
      <c r="P46" s="273" t="s">
        <v>1718</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baseColWidth="10" defaultColWidth="9.3984375" defaultRowHeight="15" x14ac:dyDescent="0.2"/>
  <cols>
    <col min="1" max="2" width="42.59765625" style="278" bestFit="1" customWidth="1" collapsed="1"/>
    <col min="3" max="7" width="30" style="278" bestFit="1" customWidth="1" collapsed="1"/>
    <col min="8" max="8" width="42.19921875" style="278" bestFit="1" customWidth="1" collapsed="1"/>
    <col min="9" max="10" width="42.59765625" style="278" bestFit="1" customWidth="1" collapsed="1"/>
    <col min="11" max="11" width="31.19921875" style="278" bestFit="1" customWidth="1" collapsed="1"/>
    <col min="12" max="12" width="42.59765625" style="278" bestFit="1" customWidth="1" collapsed="1"/>
    <col min="13" max="15" width="30" style="278" bestFit="1" customWidth="1" collapsed="1"/>
    <col min="16" max="16" width="42.19921875" style="278" bestFit="1" customWidth="1" collapsed="1"/>
    <col min="17" max="17" width="30" style="278" bestFit="1" customWidth="1" collapsed="1"/>
    <col min="18" max="18" width="42.19921875" style="278" bestFit="1" customWidth="1" collapsed="1"/>
    <col min="19" max="19" width="26.3984375" style="278" bestFit="1" customWidth="1" collapsed="1"/>
    <col min="20" max="20" width="42.59765625" style="278" bestFit="1" customWidth="1" collapsed="1"/>
    <col min="21" max="16384" width="9.3984375" style="278" collapsed="1"/>
  </cols>
  <sheetData>
    <row r="1" spans="1:20" ht="18" x14ac:dyDescent="0.2">
      <c r="A1" s="277" t="s">
        <v>1772</v>
      </c>
    </row>
    <row r="3" spans="1:20" ht="17.25" customHeight="1" x14ac:dyDescent="0.2">
      <c r="A3" s="675" t="s">
        <v>17</v>
      </c>
      <c r="B3" s="675"/>
      <c r="C3" s="675"/>
      <c r="D3" s="675"/>
      <c r="E3" s="675"/>
      <c r="F3" s="675"/>
      <c r="G3" s="675"/>
      <c r="H3" s="675"/>
      <c r="I3" s="675"/>
      <c r="J3" s="675"/>
      <c r="K3" s="676" t="s">
        <v>104</v>
      </c>
      <c r="L3" s="676"/>
      <c r="M3" s="676"/>
      <c r="N3" s="676"/>
      <c r="O3" s="676"/>
      <c r="P3" s="676"/>
      <c r="Q3" s="676"/>
      <c r="R3" s="676"/>
      <c r="S3" s="676"/>
      <c r="T3" s="676"/>
    </row>
    <row r="4" spans="1:20" ht="17.25" customHeight="1" x14ac:dyDescent="0.2">
      <c r="A4" s="675" t="s">
        <v>1773</v>
      </c>
      <c r="B4" s="675"/>
      <c r="C4" s="675"/>
      <c r="D4" s="675"/>
      <c r="E4" s="675"/>
      <c r="F4" s="676" t="s">
        <v>1774</v>
      </c>
      <c r="G4" s="676"/>
      <c r="H4" s="676"/>
      <c r="I4" s="676"/>
      <c r="J4" s="676"/>
      <c r="K4" s="675" t="s">
        <v>1773</v>
      </c>
      <c r="L4" s="675"/>
      <c r="M4" s="675"/>
      <c r="N4" s="675"/>
      <c r="O4" s="675"/>
      <c r="P4" s="676" t="s">
        <v>1774</v>
      </c>
      <c r="Q4" s="676"/>
      <c r="R4" s="676"/>
      <c r="S4" s="676"/>
      <c r="T4" s="676"/>
    </row>
    <row r="5" spans="1:20" x14ac:dyDescent="0.2">
      <c r="A5" s="673"/>
      <c r="B5" s="673"/>
      <c r="C5" s="677" t="s">
        <v>1688</v>
      </c>
      <c r="D5" s="677"/>
      <c r="E5" s="677"/>
      <c r="F5" s="677"/>
      <c r="G5" s="677"/>
      <c r="H5" s="677"/>
      <c r="I5" s="673"/>
      <c r="J5" s="673"/>
      <c r="K5" s="673"/>
      <c r="L5" s="673"/>
      <c r="M5" s="677" t="s">
        <v>1688</v>
      </c>
      <c r="N5" s="677"/>
      <c r="O5" s="677"/>
      <c r="P5" s="677"/>
      <c r="Q5" s="677"/>
      <c r="R5" s="677"/>
      <c r="S5" s="673"/>
      <c r="T5" s="673"/>
    </row>
    <row r="6" spans="1:20" x14ac:dyDescent="0.2">
      <c r="A6" s="673"/>
      <c r="B6" s="673"/>
      <c r="C6" s="674" t="s">
        <v>1707</v>
      </c>
      <c r="D6" s="674"/>
      <c r="E6" s="674"/>
      <c r="F6" s="674"/>
      <c r="G6" s="674"/>
      <c r="H6" s="674"/>
      <c r="I6" s="673"/>
      <c r="J6" s="673"/>
      <c r="K6" s="673"/>
      <c r="L6" s="673"/>
      <c r="M6" s="674" t="s">
        <v>1707</v>
      </c>
      <c r="N6" s="674"/>
      <c r="O6" s="674"/>
      <c r="P6" s="674"/>
      <c r="Q6" s="674"/>
      <c r="R6" s="674"/>
      <c r="S6" s="673"/>
      <c r="T6" s="673"/>
    </row>
    <row r="7" spans="1:20" x14ac:dyDescent="0.2">
      <c r="A7" s="673"/>
      <c r="B7" s="673"/>
      <c r="C7" s="279" t="s">
        <v>1735</v>
      </c>
      <c r="D7" s="279" t="s">
        <v>1736</v>
      </c>
      <c r="E7" s="279" t="s">
        <v>1737</v>
      </c>
      <c r="F7" s="279" t="s">
        <v>1738</v>
      </c>
      <c r="G7" s="279" t="s">
        <v>1739</v>
      </c>
      <c r="H7" s="279" t="s">
        <v>1740</v>
      </c>
      <c r="I7" s="673"/>
      <c r="J7" s="673"/>
      <c r="K7" s="673"/>
      <c r="L7" s="673"/>
      <c r="M7" s="279" t="s">
        <v>1735</v>
      </c>
      <c r="N7" s="279" t="s">
        <v>1736</v>
      </c>
      <c r="O7" s="279" t="s">
        <v>1737</v>
      </c>
      <c r="P7" s="279" t="s">
        <v>1738</v>
      </c>
      <c r="Q7" s="279" t="s">
        <v>1739</v>
      </c>
      <c r="R7" s="279" t="s">
        <v>1740</v>
      </c>
      <c r="S7" s="673"/>
      <c r="T7" s="673"/>
    </row>
    <row r="8" spans="1:20" x14ac:dyDescent="0.2">
      <c r="A8" s="673"/>
      <c r="B8" s="673"/>
      <c r="C8" s="280" t="s">
        <v>1741</v>
      </c>
      <c r="D8" s="280" t="s">
        <v>1742</v>
      </c>
      <c r="E8" s="280" t="s">
        <v>1743</v>
      </c>
      <c r="F8" s="280" t="s">
        <v>1744</v>
      </c>
      <c r="G8" s="280" t="s">
        <v>1745</v>
      </c>
      <c r="H8" s="280" t="s">
        <v>1746</v>
      </c>
      <c r="I8" s="673"/>
      <c r="J8" s="673"/>
      <c r="K8" s="673"/>
      <c r="L8" s="673"/>
      <c r="M8" s="280" t="s">
        <v>1741</v>
      </c>
      <c r="N8" s="280" t="s">
        <v>1742</v>
      </c>
      <c r="O8" s="280" t="s">
        <v>1743</v>
      </c>
      <c r="P8" s="280" t="s">
        <v>1744</v>
      </c>
      <c r="Q8" s="280" t="s">
        <v>1745</v>
      </c>
      <c r="R8" s="280" t="s">
        <v>1746</v>
      </c>
      <c r="S8" s="673"/>
      <c r="T8" s="673"/>
    </row>
    <row r="9" spans="1:20" ht="16" thickBot="1" x14ac:dyDescent="0.25">
      <c r="A9" s="678" t="s">
        <v>1691</v>
      </c>
      <c r="B9" s="281" t="s">
        <v>1775</v>
      </c>
      <c r="C9" s="282"/>
      <c r="D9" s="282"/>
      <c r="E9" s="282"/>
      <c r="F9" s="282"/>
      <c r="G9" s="282"/>
      <c r="H9" s="283"/>
      <c r="I9" s="680" t="s">
        <v>1691</v>
      </c>
      <c r="J9" s="284" t="s">
        <v>1776</v>
      </c>
      <c r="K9" s="678" t="s">
        <v>1691</v>
      </c>
      <c r="L9" s="281" t="s">
        <v>1775</v>
      </c>
      <c r="M9" s="282"/>
      <c r="N9" s="282"/>
      <c r="O9" s="282"/>
      <c r="P9" s="282"/>
      <c r="Q9" s="282"/>
      <c r="R9" s="283"/>
      <c r="S9" s="680" t="s">
        <v>1691</v>
      </c>
      <c r="T9" s="284" t="s">
        <v>1776</v>
      </c>
    </row>
    <row r="10" spans="1:20" ht="16" thickBot="1" x14ac:dyDescent="0.25">
      <c r="A10" s="678"/>
      <c r="B10" s="281" t="s">
        <v>1777</v>
      </c>
      <c r="C10" s="282"/>
      <c r="D10" s="282"/>
      <c r="E10" s="282"/>
      <c r="F10" s="282"/>
      <c r="G10" s="282"/>
      <c r="H10" s="283"/>
      <c r="I10" s="680"/>
      <c r="J10" s="284" t="s">
        <v>1778</v>
      </c>
      <c r="K10" s="678"/>
      <c r="L10" s="281" t="s">
        <v>1777</v>
      </c>
      <c r="M10" s="282"/>
      <c r="N10" s="282"/>
      <c r="O10" s="282"/>
      <c r="P10" s="282"/>
      <c r="Q10" s="282"/>
      <c r="R10" s="283"/>
      <c r="S10" s="680"/>
      <c r="T10" s="284" t="s">
        <v>1778</v>
      </c>
    </row>
    <row r="11" spans="1:20" ht="16" thickBot="1" x14ac:dyDescent="0.25">
      <c r="A11" s="678"/>
      <c r="B11" s="281" t="s">
        <v>1779</v>
      </c>
      <c r="C11" s="282"/>
      <c r="D11" s="282"/>
      <c r="E11" s="282"/>
      <c r="F11" s="282"/>
      <c r="G11" s="282"/>
      <c r="H11" s="283"/>
      <c r="I11" s="680"/>
      <c r="J11" s="284" t="s">
        <v>1780</v>
      </c>
      <c r="K11" s="678"/>
      <c r="L11" s="281" t="s">
        <v>1779</v>
      </c>
      <c r="M11" s="282"/>
      <c r="N11" s="282"/>
      <c r="O11" s="282"/>
      <c r="P11" s="282"/>
      <c r="Q11" s="282"/>
      <c r="R11" s="283"/>
      <c r="S11" s="680"/>
      <c r="T11" s="284" t="s">
        <v>1780</v>
      </c>
    </row>
    <row r="12" spans="1:20" ht="16" thickBot="1" x14ac:dyDescent="0.25">
      <c r="A12" s="678"/>
      <c r="B12" s="281" t="s">
        <v>1781</v>
      </c>
      <c r="C12" s="282"/>
      <c r="D12" s="282"/>
      <c r="E12" s="282"/>
      <c r="F12" s="282"/>
      <c r="G12" s="282"/>
      <c r="H12" s="283"/>
      <c r="I12" s="680"/>
      <c r="J12" s="284" t="s">
        <v>1782</v>
      </c>
      <c r="K12" s="678"/>
      <c r="L12" s="281" t="s">
        <v>1781</v>
      </c>
      <c r="M12" s="282"/>
      <c r="N12" s="282"/>
      <c r="O12" s="282"/>
      <c r="P12" s="282"/>
      <c r="Q12" s="282"/>
      <c r="R12" s="283"/>
      <c r="S12" s="680"/>
      <c r="T12" s="284" t="s">
        <v>1782</v>
      </c>
    </row>
    <row r="13" spans="1:20" ht="16" thickBot="1" x14ac:dyDescent="0.25">
      <c r="A13" s="678"/>
      <c r="B13" s="281" t="s">
        <v>1783</v>
      </c>
      <c r="C13" s="282"/>
      <c r="D13" s="282"/>
      <c r="E13" s="282"/>
      <c r="F13" s="282"/>
      <c r="G13" s="282"/>
      <c r="H13" s="283"/>
      <c r="I13" s="680"/>
      <c r="J13" s="284" t="s">
        <v>1784</v>
      </c>
      <c r="K13" s="678"/>
      <c r="L13" s="281" t="s">
        <v>1783</v>
      </c>
      <c r="M13" s="282"/>
      <c r="N13" s="282"/>
      <c r="O13" s="282"/>
      <c r="P13" s="282"/>
      <c r="Q13" s="282"/>
      <c r="R13" s="283"/>
      <c r="S13" s="680"/>
      <c r="T13" s="284" t="s">
        <v>1784</v>
      </c>
    </row>
    <row r="14" spans="1:20" ht="29" thickBot="1" x14ac:dyDescent="0.25">
      <c r="A14" s="678"/>
      <c r="B14" s="281" t="s">
        <v>1785</v>
      </c>
      <c r="C14" s="282"/>
      <c r="D14" s="282"/>
      <c r="E14" s="282"/>
      <c r="F14" s="282"/>
      <c r="G14" s="282"/>
      <c r="H14" s="283"/>
      <c r="I14" s="680"/>
      <c r="J14" s="284" t="s">
        <v>1786</v>
      </c>
      <c r="K14" s="678"/>
      <c r="L14" s="281" t="s">
        <v>1785</v>
      </c>
      <c r="M14" s="282"/>
      <c r="N14" s="282"/>
      <c r="O14" s="282"/>
      <c r="P14" s="282"/>
      <c r="Q14" s="282"/>
      <c r="R14" s="283"/>
      <c r="S14" s="680"/>
      <c r="T14" s="284" t="s">
        <v>1786</v>
      </c>
    </row>
    <row r="15" spans="1:20" ht="16" thickBot="1" x14ac:dyDescent="0.25">
      <c r="A15" s="678"/>
      <c r="B15" s="281" t="s">
        <v>1787</v>
      </c>
      <c r="C15" s="282"/>
      <c r="D15" s="282"/>
      <c r="E15" s="282"/>
      <c r="F15" s="282"/>
      <c r="G15" s="282"/>
      <c r="H15" s="283"/>
      <c r="I15" s="680"/>
      <c r="J15" s="284" t="s">
        <v>1788</v>
      </c>
      <c r="K15" s="678"/>
      <c r="L15" s="281" t="s">
        <v>1787</v>
      </c>
      <c r="M15" s="282"/>
      <c r="N15" s="282"/>
      <c r="O15" s="282"/>
      <c r="P15" s="282"/>
      <c r="Q15" s="282"/>
      <c r="R15" s="283"/>
      <c r="S15" s="680"/>
      <c r="T15" s="284" t="s">
        <v>1788</v>
      </c>
    </row>
    <row r="16" spans="1:20" ht="16" thickBot="1" x14ac:dyDescent="0.25">
      <c r="A16" s="678"/>
      <c r="B16" s="281" t="s">
        <v>1789</v>
      </c>
      <c r="C16" s="282"/>
      <c r="D16" s="282"/>
      <c r="E16" s="282"/>
      <c r="F16" s="282"/>
      <c r="G16" s="282"/>
      <c r="H16" s="283"/>
      <c r="I16" s="680"/>
      <c r="J16" s="284" t="s">
        <v>1790</v>
      </c>
      <c r="K16" s="678"/>
      <c r="L16" s="281" t="s">
        <v>1789</v>
      </c>
      <c r="M16" s="282"/>
      <c r="N16" s="282"/>
      <c r="O16" s="282"/>
      <c r="P16" s="282"/>
      <c r="Q16" s="282"/>
      <c r="R16" s="283"/>
      <c r="S16" s="680"/>
      <c r="T16" s="284" t="s">
        <v>1790</v>
      </c>
    </row>
    <row r="17" spans="1:20" ht="16" thickBot="1" x14ac:dyDescent="0.25">
      <c r="A17" s="678"/>
      <c r="B17" s="281" t="s">
        <v>1791</v>
      </c>
      <c r="C17" s="282"/>
      <c r="D17" s="282"/>
      <c r="E17" s="282"/>
      <c r="F17" s="282"/>
      <c r="G17" s="282"/>
      <c r="H17" s="283"/>
      <c r="I17" s="680"/>
      <c r="J17" s="284" t="s">
        <v>1792</v>
      </c>
      <c r="K17" s="678"/>
      <c r="L17" s="281" t="s">
        <v>1791</v>
      </c>
      <c r="M17" s="282"/>
      <c r="N17" s="282"/>
      <c r="O17" s="282"/>
      <c r="P17" s="282"/>
      <c r="Q17" s="282"/>
      <c r="R17" s="283"/>
      <c r="S17" s="680"/>
      <c r="T17" s="284" t="s">
        <v>1792</v>
      </c>
    </row>
    <row r="18" spans="1:20" ht="16" thickBot="1" x14ac:dyDescent="0.25">
      <c r="A18" s="678"/>
      <c r="B18" s="281" t="s">
        <v>1793</v>
      </c>
      <c r="C18" s="282"/>
      <c r="D18" s="282"/>
      <c r="E18" s="282"/>
      <c r="F18" s="282"/>
      <c r="G18" s="282"/>
      <c r="H18" s="283"/>
      <c r="I18" s="680"/>
      <c r="J18" s="284" t="s">
        <v>1794</v>
      </c>
      <c r="K18" s="678"/>
      <c r="L18" s="281" t="s">
        <v>1793</v>
      </c>
      <c r="M18" s="282"/>
      <c r="N18" s="282"/>
      <c r="O18" s="282"/>
      <c r="P18" s="282"/>
      <c r="Q18" s="282"/>
      <c r="R18" s="283"/>
      <c r="S18" s="680"/>
      <c r="T18" s="284" t="s">
        <v>1794</v>
      </c>
    </row>
    <row r="19" spans="1:20" ht="16" thickBot="1" x14ac:dyDescent="0.25">
      <c r="A19" s="678"/>
      <c r="B19" s="281" t="s">
        <v>1795</v>
      </c>
      <c r="C19" s="282"/>
      <c r="D19" s="282"/>
      <c r="E19" s="282"/>
      <c r="F19" s="282"/>
      <c r="G19" s="282"/>
      <c r="H19" s="283"/>
      <c r="I19" s="680"/>
      <c r="J19" s="284" t="s">
        <v>1796</v>
      </c>
      <c r="K19" s="678"/>
      <c r="L19" s="281" t="s">
        <v>1795</v>
      </c>
      <c r="M19" s="282"/>
      <c r="N19" s="282"/>
      <c r="O19" s="282"/>
      <c r="P19" s="282"/>
      <c r="Q19" s="282"/>
      <c r="R19" s="283"/>
      <c r="S19" s="680"/>
      <c r="T19" s="284" t="s">
        <v>1796</v>
      </c>
    </row>
    <row r="20" spans="1:20" ht="29" thickBot="1" x14ac:dyDescent="0.25">
      <c r="A20" s="679"/>
      <c r="B20" s="285" t="s">
        <v>1797</v>
      </c>
      <c r="C20" s="283"/>
      <c r="D20" s="283"/>
      <c r="E20" s="283"/>
      <c r="F20" s="283"/>
      <c r="G20" s="283"/>
      <c r="H20" s="283"/>
      <c r="I20" s="681"/>
      <c r="J20" s="286" t="s">
        <v>1798</v>
      </c>
      <c r="K20" s="679"/>
      <c r="L20" s="285" t="s">
        <v>1797</v>
      </c>
      <c r="M20" s="283"/>
      <c r="N20" s="283"/>
      <c r="O20" s="283"/>
      <c r="P20" s="283"/>
      <c r="Q20" s="283"/>
      <c r="R20" s="283"/>
      <c r="S20" s="681"/>
      <c r="T20" s="286" t="s">
        <v>1798</v>
      </c>
    </row>
    <row r="21" spans="1:20" ht="16" thickBot="1" x14ac:dyDescent="0.25">
      <c r="A21" s="682" t="s">
        <v>1694</v>
      </c>
      <c r="B21" s="281" t="s">
        <v>1775</v>
      </c>
      <c r="C21" s="282"/>
      <c r="D21" s="282"/>
      <c r="E21" s="282"/>
      <c r="F21" s="282"/>
      <c r="G21" s="282"/>
      <c r="H21" s="283"/>
      <c r="I21" s="683" t="s">
        <v>1695</v>
      </c>
      <c r="J21" s="284" t="s">
        <v>1776</v>
      </c>
      <c r="K21" s="682" t="s">
        <v>1694</v>
      </c>
      <c r="L21" s="281" t="s">
        <v>1775</v>
      </c>
      <c r="M21" s="282"/>
      <c r="N21" s="282"/>
      <c r="O21" s="282"/>
      <c r="P21" s="282"/>
      <c r="Q21" s="282"/>
      <c r="R21" s="283"/>
      <c r="S21" s="683" t="s">
        <v>1695</v>
      </c>
      <c r="T21" s="284" t="s">
        <v>1776</v>
      </c>
    </row>
    <row r="22" spans="1:20" ht="16" thickBot="1" x14ac:dyDescent="0.25">
      <c r="A22" s="678"/>
      <c r="B22" s="281" t="s">
        <v>1777</v>
      </c>
      <c r="C22" s="282"/>
      <c r="D22" s="282"/>
      <c r="E22" s="282"/>
      <c r="F22" s="282"/>
      <c r="G22" s="282"/>
      <c r="H22" s="283"/>
      <c r="I22" s="680"/>
      <c r="J22" s="284" t="s">
        <v>1778</v>
      </c>
      <c r="K22" s="678"/>
      <c r="L22" s="281" t="s">
        <v>1777</v>
      </c>
      <c r="M22" s="282"/>
      <c r="N22" s="282"/>
      <c r="O22" s="282"/>
      <c r="P22" s="282"/>
      <c r="Q22" s="282"/>
      <c r="R22" s="283"/>
      <c r="S22" s="680"/>
      <c r="T22" s="284" t="s">
        <v>1778</v>
      </c>
    </row>
    <row r="23" spans="1:20" ht="16" thickBot="1" x14ac:dyDescent="0.25">
      <c r="A23" s="678"/>
      <c r="B23" s="281" t="s">
        <v>1779</v>
      </c>
      <c r="C23" s="282"/>
      <c r="D23" s="282"/>
      <c r="E23" s="282"/>
      <c r="F23" s="282"/>
      <c r="G23" s="282"/>
      <c r="H23" s="283"/>
      <c r="I23" s="680"/>
      <c r="J23" s="284" t="s">
        <v>1780</v>
      </c>
      <c r="K23" s="678"/>
      <c r="L23" s="281" t="s">
        <v>1779</v>
      </c>
      <c r="M23" s="282"/>
      <c r="N23" s="282"/>
      <c r="O23" s="282"/>
      <c r="P23" s="282"/>
      <c r="Q23" s="282"/>
      <c r="R23" s="283"/>
      <c r="S23" s="680"/>
      <c r="T23" s="284" t="s">
        <v>1780</v>
      </c>
    </row>
    <row r="24" spans="1:20" ht="16" thickBot="1" x14ac:dyDescent="0.25">
      <c r="A24" s="678"/>
      <c r="B24" s="281" t="s">
        <v>1781</v>
      </c>
      <c r="C24" s="282"/>
      <c r="D24" s="282"/>
      <c r="E24" s="282"/>
      <c r="F24" s="282"/>
      <c r="G24" s="282"/>
      <c r="H24" s="283"/>
      <c r="I24" s="680"/>
      <c r="J24" s="284" t="s">
        <v>1782</v>
      </c>
      <c r="K24" s="678"/>
      <c r="L24" s="281" t="s">
        <v>1781</v>
      </c>
      <c r="M24" s="282"/>
      <c r="N24" s="282"/>
      <c r="O24" s="282"/>
      <c r="P24" s="282"/>
      <c r="Q24" s="282"/>
      <c r="R24" s="283"/>
      <c r="S24" s="680"/>
      <c r="T24" s="284" t="s">
        <v>1782</v>
      </c>
    </row>
    <row r="25" spans="1:20" ht="16" thickBot="1" x14ac:dyDescent="0.25">
      <c r="A25" s="678"/>
      <c r="B25" s="281" t="s">
        <v>1783</v>
      </c>
      <c r="C25" s="282"/>
      <c r="D25" s="282"/>
      <c r="E25" s="282"/>
      <c r="F25" s="282"/>
      <c r="G25" s="282"/>
      <c r="H25" s="283"/>
      <c r="I25" s="680"/>
      <c r="J25" s="284" t="s">
        <v>1784</v>
      </c>
      <c r="K25" s="678"/>
      <c r="L25" s="281" t="s">
        <v>1783</v>
      </c>
      <c r="M25" s="282"/>
      <c r="N25" s="282"/>
      <c r="O25" s="282"/>
      <c r="P25" s="282"/>
      <c r="Q25" s="282"/>
      <c r="R25" s="283"/>
      <c r="S25" s="680"/>
      <c r="T25" s="284" t="s">
        <v>1784</v>
      </c>
    </row>
    <row r="26" spans="1:20" ht="29" thickBot="1" x14ac:dyDescent="0.25">
      <c r="A26" s="678"/>
      <c r="B26" s="281" t="s">
        <v>1785</v>
      </c>
      <c r="C26" s="282"/>
      <c r="D26" s="282"/>
      <c r="E26" s="282"/>
      <c r="F26" s="282"/>
      <c r="G26" s="282"/>
      <c r="H26" s="283"/>
      <c r="I26" s="680"/>
      <c r="J26" s="284" t="s">
        <v>1786</v>
      </c>
      <c r="K26" s="678"/>
      <c r="L26" s="281" t="s">
        <v>1785</v>
      </c>
      <c r="M26" s="282"/>
      <c r="N26" s="282"/>
      <c r="O26" s="282"/>
      <c r="P26" s="282"/>
      <c r="Q26" s="282"/>
      <c r="R26" s="283"/>
      <c r="S26" s="680"/>
      <c r="T26" s="284" t="s">
        <v>1786</v>
      </c>
    </row>
    <row r="27" spans="1:20" ht="16" thickBot="1" x14ac:dyDescent="0.25">
      <c r="A27" s="678"/>
      <c r="B27" s="281" t="s">
        <v>1787</v>
      </c>
      <c r="C27" s="282"/>
      <c r="D27" s="282"/>
      <c r="E27" s="282"/>
      <c r="F27" s="282"/>
      <c r="G27" s="282"/>
      <c r="H27" s="283"/>
      <c r="I27" s="680"/>
      <c r="J27" s="284" t="s">
        <v>1788</v>
      </c>
      <c r="K27" s="678"/>
      <c r="L27" s="281" t="s">
        <v>1787</v>
      </c>
      <c r="M27" s="282"/>
      <c r="N27" s="282"/>
      <c r="O27" s="282"/>
      <c r="P27" s="282"/>
      <c r="Q27" s="282"/>
      <c r="R27" s="283"/>
      <c r="S27" s="680"/>
      <c r="T27" s="284" t="s">
        <v>1788</v>
      </c>
    </row>
    <row r="28" spans="1:20" ht="16" thickBot="1" x14ac:dyDescent="0.25">
      <c r="A28" s="678"/>
      <c r="B28" s="281" t="s">
        <v>1789</v>
      </c>
      <c r="C28" s="282"/>
      <c r="D28" s="282"/>
      <c r="E28" s="282"/>
      <c r="F28" s="282"/>
      <c r="G28" s="282"/>
      <c r="H28" s="283"/>
      <c r="I28" s="680"/>
      <c r="J28" s="284" t="s">
        <v>1790</v>
      </c>
      <c r="K28" s="678"/>
      <c r="L28" s="281" t="s">
        <v>1789</v>
      </c>
      <c r="M28" s="282"/>
      <c r="N28" s="282"/>
      <c r="O28" s="282"/>
      <c r="P28" s="282"/>
      <c r="Q28" s="282"/>
      <c r="R28" s="283"/>
      <c r="S28" s="680"/>
      <c r="T28" s="284" t="s">
        <v>1790</v>
      </c>
    </row>
    <row r="29" spans="1:20" ht="16" thickBot="1" x14ac:dyDescent="0.25">
      <c r="A29" s="678"/>
      <c r="B29" s="281" t="s">
        <v>1791</v>
      </c>
      <c r="C29" s="282"/>
      <c r="D29" s="282"/>
      <c r="E29" s="282"/>
      <c r="F29" s="282"/>
      <c r="G29" s="282"/>
      <c r="H29" s="283"/>
      <c r="I29" s="680"/>
      <c r="J29" s="284" t="s">
        <v>1792</v>
      </c>
      <c r="K29" s="678"/>
      <c r="L29" s="281" t="s">
        <v>1791</v>
      </c>
      <c r="M29" s="282"/>
      <c r="N29" s="282"/>
      <c r="O29" s="282"/>
      <c r="P29" s="282"/>
      <c r="Q29" s="282"/>
      <c r="R29" s="283"/>
      <c r="S29" s="680"/>
      <c r="T29" s="284" t="s">
        <v>1792</v>
      </c>
    </row>
    <row r="30" spans="1:20" ht="16" thickBot="1" x14ac:dyDescent="0.25">
      <c r="A30" s="678"/>
      <c r="B30" s="281" t="s">
        <v>1793</v>
      </c>
      <c r="C30" s="282"/>
      <c r="D30" s="282"/>
      <c r="E30" s="282"/>
      <c r="F30" s="282"/>
      <c r="G30" s="282"/>
      <c r="H30" s="283"/>
      <c r="I30" s="680"/>
      <c r="J30" s="284" t="s">
        <v>1794</v>
      </c>
      <c r="K30" s="678"/>
      <c r="L30" s="281" t="s">
        <v>1793</v>
      </c>
      <c r="M30" s="282"/>
      <c r="N30" s="282"/>
      <c r="O30" s="282"/>
      <c r="P30" s="282"/>
      <c r="Q30" s="282"/>
      <c r="R30" s="283"/>
      <c r="S30" s="680"/>
      <c r="T30" s="284" t="s">
        <v>1794</v>
      </c>
    </row>
    <row r="31" spans="1:20" ht="16" thickBot="1" x14ac:dyDescent="0.25">
      <c r="A31" s="678"/>
      <c r="B31" s="281" t="s">
        <v>1795</v>
      </c>
      <c r="C31" s="282"/>
      <c r="D31" s="282"/>
      <c r="E31" s="282"/>
      <c r="F31" s="282"/>
      <c r="G31" s="282"/>
      <c r="H31" s="283"/>
      <c r="I31" s="680"/>
      <c r="J31" s="284" t="s">
        <v>1796</v>
      </c>
      <c r="K31" s="678"/>
      <c r="L31" s="281" t="s">
        <v>1795</v>
      </c>
      <c r="M31" s="282"/>
      <c r="N31" s="282"/>
      <c r="O31" s="282"/>
      <c r="P31" s="282"/>
      <c r="Q31" s="282"/>
      <c r="R31" s="283"/>
      <c r="S31" s="680"/>
      <c r="T31" s="284" t="s">
        <v>1796</v>
      </c>
    </row>
    <row r="32" spans="1:20" ht="29" thickBot="1" x14ac:dyDescent="0.25">
      <c r="A32" s="679"/>
      <c r="B32" s="285" t="s">
        <v>1797</v>
      </c>
      <c r="C32" s="283"/>
      <c r="D32" s="283"/>
      <c r="E32" s="283"/>
      <c r="F32" s="283"/>
      <c r="G32" s="283"/>
      <c r="H32" s="283"/>
      <c r="I32" s="681"/>
      <c r="J32" s="286" t="s">
        <v>1798</v>
      </c>
      <c r="K32" s="679"/>
      <c r="L32" s="285" t="s">
        <v>1797</v>
      </c>
      <c r="M32" s="283"/>
      <c r="N32" s="283"/>
      <c r="O32" s="283"/>
      <c r="P32" s="283"/>
      <c r="Q32" s="283"/>
      <c r="R32" s="283"/>
      <c r="S32" s="681"/>
      <c r="T32" s="286" t="s">
        <v>1798</v>
      </c>
    </row>
    <row r="33" spans="1:20" ht="17.25" customHeight="1" x14ac:dyDescent="0.2">
      <c r="A33" s="684" t="s">
        <v>17</v>
      </c>
      <c r="B33" s="684"/>
      <c r="C33" s="684"/>
      <c r="D33" s="684"/>
      <c r="E33" s="684"/>
      <c r="F33" s="684"/>
      <c r="G33" s="684"/>
      <c r="H33" s="684"/>
      <c r="I33" s="684"/>
      <c r="J33" s="684"/>
      <c r="K33" s="685" t="s">
        <v>104</v>
      </c>
      <c r="L33" s="685"/>
      <c r="M33" s="685"/>
      <c r="N33" s="685"/>
      <c r="O33" s="685"/>
      <c r="P33" s="685"/>
      <c r="Q33" s="685"/>
      <c r="R33" s="685"/>
      <c r="S33" s="685"/>
      <c r="T33" s="685"/>
    </row>
    <row r="34" spans="1:20" ht="17.25" customHeight="1" x14ac:dyDescent="0.2">
      <c r="A34" s="675" t="s">
        <v>1773</v>
      </c>
      <c r="B34" s="675"/>
      <c r="C34" s="675"/>
      <c r="D34" s="675"/>
      <c r="E34" s="675"/>
      <c r="F34" s="676" t="s">
        <v>1774</v>
      </c>
      <c r="G34" s="676"/>
      <c r="H34" s="676"/>
      <c r="I34" s="676"/>
      <c r="J34" s="676"/>
      <c r="K34" s="675" t="s">
        <v>1773</v>
      </c>
      <c r="L34" s="675"/>
      <c r="M34" s="675"/>
      <c r="N34" s="675"/>
      <c r="O34" s="675"/>
      <c r="P34" s="676" t="s">
        <v>1774</v>
      </c>
      <c r="Q34" s="676"/>
      <c r="R34" s="676"/>
      <c r="S34" s="676"/>
      <c r="T34" s="676"/>
    </row>
    <row r="35" spans="1:20" x14ac:dyDescent="0.2">
      <c r="A35" s="673"/>
      <c r="B35" s="673"/>
      <c r="C35" s="677" t="s">
        <v>1688</v>
      </c>
      <c r="D35" s="677"/>
      <c r="E35" s="677"/>
      <c r="F35" s="677"/>
      <c r="G35" s="677"/>
      <c r="H35" s="677"/>
      <c r="I35" s="673"/>
      <c r="J35" s="673"/>
      <c r="K35" s="673"/>
      <c r="L35" s="673"/>
      <c r="M35" s="677" t="s">
        <v>1688</v>
      </c>
      <c r="N35" s="677"/>
      <c r="O35" s="677"/>
      <c r="P35" s="677"/>
      <c r="Q35" s="677"/>
      <c r="R35" s="677"/>
      <c r="S35" s="673"/>
      <c r="T35" s="673"/>
    </row>
    <row r="36" spans="1:20" x14ac:dyDescent="0.2">
      <c r="A36" s="673"/>
      <c r="B36" s="673"/>
      <c r="C36" s="674" t="s">
        <v>1707</v>
      </c>
      <c r="D36" s="674"/>
      <c r="E36" s="674"/>
      <c r="F36" s="674"/>
      <c r="G36" s="674"/>
      <c r="H36" s="674"/>
      <c r="I36" s="673"/>
      <c r="J36" s="673"/>
      <c r="K36" s="673"/>
      <c r="L36" s="673"/>
      <c r="M36" s="674" t="s">
        <v>1707</v>
      </c>
      <c r="N36" s="674"/>
      <c r="O36" s="674"/>
      <c r="P36" s="674"/>
      <c r="Q36" s="674"/>
      <c r="R36" s="674"/>
      <c r="S36" s="673"/>
      <c r="T36" s="673"/>
    </row>
    <row r="37" spans="1:20" x14ac:dyDescent="0.2">
      <c r="A37" s="673"/>
      <c r="B37" s="673"/>
      <c r="C37" s="279" t="s">
        <v>1735</v>
      </c>
      <c r="D37" s="279" t="s">
        <v>1736</v>
      </c>
      <c r="E37" s="279" t="s">
        <v>1737</v>
      </c>
      <c r="F37" s="279" t="s">
        <v>1738</v>
      </c>
      <c r="G37" s="279" t="s">
        <v>1739</v>
      </c>
      <c r="H37" s="279" t="s">
        <v>1740</v>
      </c>
      <c r="I37" s="673"/>
      <c r="J37" s="673"/>
      <c r="K37" s="673"/>
      <c r="L37" s="673"/>
      <c r="M37" s="279" t="s">
        <v>1735</v>
      </c>
      <c r="N37" s="279" t="s">
        <v>1736</v>
      </c>
      <c r="O37" s="279" t="s">
        <v>1737</v>
      </c>
      <c r="P37" s="279" t="s">
        <v>1738</v>
      </c>
      <c r="Q37" s="279" t="s">
        <v>1739</v>
      </c>
      <c r="R37" s="279" t="s">
        <v>1740</v>
      </c>
      <c r="S37" s="673"/>
      <c r="T37" s="673"/>
    </row>
    <row r="38" spans="1:20" x14ac:dyDescent="0.2">
      <c r="A38" s="673"/>
      <c r="B38" s="673"/>
      <c r="C38" s="280" t="s">
        <v>1741</v>
      </c>
      <c r="D38" s="280" t="s">
        <v>1742</v>
      </c>
      <c r="E38" s="280" t="s">
        <v>1743</v>
      </c>
      <c r="F38" s="280" t="s">
        <v>1744</v>
      </c>
      <c r="G38" s="280" t="s">
        <v>1745</v>
      </c>
      <c r="H38" s="280" t="s">
        <v>1746</v>
      </c>
      <c r="I38" s="673"/>
      <c r="J38" s="673"/>
      <c r="K38" s="673"/>
      <c r="L38" s="673"/>
      <c r="M38" s="280" t="s">
        <v>1741</v>
      </c>
      <c r="N38" s="280" t="s">
        <v>1742</v>
      </c>
      <c r="O38" s="280" t="s">
        <v>1743</v>
      </c>
      <c r="P38" s="280" t="s">
        <v>1744</v>
      </c>
      <c r="Q38" s="280" t="s">
        <v>1745</v>
      </c>
      <c r="R38" s="280" t="s">
        <v>1746</v>
      </c>
      <c r="S38" s="673"/>
      <c r="T38" s="673"/>
    </row>
    <row r="39" spans="1:20" ht="29" thickBot="1" x14ac:dyDescent="0.25">
      <c r="A39" s="281" t="s">
        <v>1696</v>
      </c>
      <c r="B39" s="285" t="s">
        <v>1797</v>
      </c>
      <c r="C39" s="283"/>
      <c r="D39" s="283"/>
      <c r="E39" s="283"/>
      <c r="F39" s="283"/>
      <c r="G39" s="283"/>
      <c r="H39" s="283"/>
      <c r="I39" s="284" t="s">
        <v>1697</v>
      </c>
      <c r="J39" s="286" t="s">
        <v>1798</v>
      </c>
      <c r="K39" s="281" t="s">
        <v>1696</v>
      </c>
      <c r="L39" s="285" t="s">
        <v>1797</v>
      </c>
      <c r="M39" s="283"/>
      <c r="N39" s="283"/>
      <c r="O39" s="283"/>
      <c r="P39" s="283"/>
      <c r="Q39" s="283"/>
      <c r="R39" s="283"/>
      <c r="S39" s="284" t="s">
        <v>1697</v>
      </c>
      <c r="T39" s="286" t="s">
        <v>1798</v>
      </c>
    </row>
    <row r="40" spans="1:20" ht="17.25" customHeight="1" x14ac:dyDescent="0.2">
      <c r="A40" s="684" t="s">
        <v>17</v>
      </c>
      <c r="B40" s="684"/>
      <c r="C40" s="684"/>
      <c r="D40" s="684"/>
      <c r="E40" s="684"/>
      <c r="F40" s="684"/>
      <c r="G40" s="684"/>
      <c r="H40" s="684"/>
      <c r="I40" s="685" t="s">
        <v>104</v>
      </c>
      <c r="J40" s="685"/>
      <c r="K40" s="685"/>
      <c r="L40" s="685"/>
      <c r="M40" s="685"/>
      <c r="N40" s="685"/>
      <c r="O40" s="685"/>
      <c r="P40" s="685"/>
    </row>
    <row r="41" spans="1:20" ht="17.25" customHeight="1" x14ac:dyDescent="0.2">
      <c r="A41" s="675" t="s">
        <v>1773</v>
      </c>
      <c r="B41" s="675"/>
      <c r="C41" s="675"/>
      <c r="D41" s="675"/>
      <c r="E41" s="676" t="s">
        <v>1774</v>
      </c>
      <c r="F41" s="676"/>
      <c r="G41" s="676"/>
      <c r="H41" s="676"/>
      <c r="I41" s="675" t="s">
        <v>1773</v>
      </c>
      <c r="J41" s="675"/>
      <c r="K41" s="675"/>
      <c r="L41" s="675"/>
      <c r="M41" s="676" t="s">
        <v>1774</v>
      </c>
      <c r="N41" s="676"/>
      <c r="O41" s="676"/>
      <c r="P41" s="676"/>
    </row>
    <row r="42" spans="1:20" x14ac:dyDescent="0.2">
      <c r="A42" s="673"/>
      <c r="B42" s="279" t="s">
        <v>1735</v>
      </c>
      <c r="C42" s="279" t="s">
        <v>1736</v>
      </c>
      <c r="D42" s="279" t="s">
        <v>1737</v>
      </c>
      <c r="E42" s="279" t="s">
        <v>1738</v>
      </c>
      <c r="F42" s="279" t="s">
        <v>1739</v>
      </c>
      <c r="G42" s="279" t="s">
        <v>1740</v>
      </c>
      <c r="H42" s="673"/>
      <c r="I42" s="673"/>
      <c r="J42" s="279" t="s">
        <v>1735</v>
      </c>
      <c r="K42" s="279" t="s">
        <v>1736</v>
      </c>
      <c r="L42" s="279" t="s">
        <v>1737</v>
      </c>
      <c r="M42" s="279" t="s">
        <v>1738</v>
      </c>
      <c r="N42" s="279" t="s">
        <v>1739</v>
      </c>
      <c r="O42" s="279" t="s">
        <v>1740</v>
      </c>
      <c r="P42" s="673"/>
    </row>
    <row r="43" spans="1:20" ht="25" x14ac:dyDescent="0.2">
      <c r="A43" s="673"/>
      <c r="B43" s="280" t="s">
        <v>1741</v>
      </c>
      <c r="C43" s="280" t="s">
        <v>1742</v>
      </c>
      <c r="D43" s="280" t="s">
        <v>1743</v>
      </c>
      <c r="E43" s="280" t="s">
        <v>1744</v>
      </c>
      <c r="F43" s="280" t="s">
        <v>1745</v>
      </c>
      <c r="G43" s="280" t="s">
        <v>1746</v>
      </c>
      <c r="H43" s="673"/>
      <c r="I43" s="673"/>
      <c r="J43" s="280" t="s">
        <v>1741</v>
      </c>
      <c r="K43" s="280" t="s">
        <v>1742</v>
      </c>
      <c r="L43" s="280" t="s">
        <v>1743</v>
      </c>
      <c r="M43" s="280" t="s">
        <v>1744</v>
      </c>
      <c r="N43" s="280" t="s">
        <v>1745</v>
      </c>
      <c r="O43" s="280" t="s">
        <v>1746</v>
      </c>
      <c r="P43" s="673"/>
    </row>
    <row r="44" spans="1:20" ht="29" thickBot="1" x14ac:dyDescent="0.25">
      <c r="A44" s="285" t="s">
        <v>1799</v>
      </c>
      <c r="B44" s="287"/>
      <c r="C44" s="287"/>
      <c r="D44" s="287"/>
      <c r="E44" s="287"/>
      <c r="F44" s="287"/>
      <c r="G44" s="287"/>
      <c r="H44" s="286" t="s">
        <v>1800</v>
      </c>
      <c r="I44" s="285" t="s">
        <v>1799</v>
      </c>
      <c r="J44" s="287"/>
      <c r="K44" s="287"/>
      <c r="L44" s="287"/>
      <c r="M44" s="287"/>
      <c r="N44" s="287"/>
      <c r="O44" s="287"/>
      <c r="P44" s="286" t="s">
        <v>1800</v>
      </c>
    </row>
    <row r="45" spans="1:20" ht="16" thickBot="1" x14ac:dyDescent="0.25">
      <c r="A45" s="288" t="s">
        <v>1688</v>
      </c>
      <c r="B45" s="283"/>
      <c r="C45" s="283"/>
      <c r="D45" s="283"/>
      <c r="E45" s="283"/>
      <c r="F45" s="283"/>
      <c r="G45" s="283"/>
      <c r="H45" s="286" t="s">
        <v>1707</v>
      </c>
      <c r="I45" s="288" t="s">
        <v>1688</v>
      </c>
      <c r="J45" s="283"/>
      <c r="K45" s="283"/>
      <c r="L45" s="283"/>
      <c r="M45" s="283"/>
      <c r="N45" s="283"/>
      <c r="O45" s="283"/>
      <c r="P45" s="286" t="s">
        <v>1707</v>
      </c>
    </row>
    <row r="46" spans="1:20" ht="29" thickBot="1" x14ac:dyDescent="0.25">
      <c r="A46" s="289" t="s">
        <v>493</v>
      </c>
      <c r="B46" s="290"/>
      <c r="C46" s="290"/>
      <c r="D46" s="290"/>
      <c r="E46" s="290"/>
      <c r="F46" s="290"/>
      <c r="G46" s="290"/>
      <c r="H46" s="284" t="s">
        <v>494</v>
      </c>
      <c r="I46" s="289" t="s">
        <v>493</v>
      </c>
      <c r="J46" s="290"/>
      <c r="K46" s="290"/>
      <c r="L46" s="290"/>
      <c r="M46" s="290"/>
      <c r="N46" s="290"/>
      <c r="O46" s="290"/>
      <c r="P46" s="284" t="s">
        <v>494</v>
      </c>
    </row>
    <row r="47" spans="1:20" ht="16" thickBot="1" x14ac:dyDescent="0.25">
      <c r="A47" s="288" t="s">
        <v>1708</v>
      </c>
      <c r="B47" s="283"/>
      <c r="C47" s="283"/>
      <c r="D47" s="283"/>
      <c r="E47" s="283"/>
      <c r="F47" s="283"/>
      <c r="G47" s="283"/>
      <c r="H47" s="286" t="s">
        <v>1709</v>
      </c>
      <c r="I47" s="288" t="s">
        <v>1708</v>
      </c>
      <c r="J47" s="283"/>
      <c r="K47" s="283"/>
      <c r="L47" s="283"/>
      <c r="M47" s="283"/>
      <c r="N47" s="283"/>
      <c r="O47" s="283"/>
      <c r="P47" s="286" t="s">
        <v>1709</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baseColWidth="10" defaultColWidth="9.3984375" defaultRowHeight="15" x14ac:dyDescent="0.2"/>
  <cols>
    <col min="1" max="2" width="42.59765625" style="292" bestFit="1" customWidth="1" collapsed="1"/>
    <col min="3" max="7" width="30" style="292" bestFit="1" customWidth="1" collapsed="1"/>
    <col min="8" max="10" width="42.59765625" style="292" bestFit="1" customWidth="1" collapsed="1"/>
    <col min="11" max="11" width="31.19921875" style="292" bestFit="1" customWidth="1" collapsed="1"/>
    <col min="12" max="12" width="42.59765625" style="292" bestFit="1" customWidth="1" collapsed="1"/>
    <col min="13" max="15" width="30" style="292" bestFit="1" customWidth="1" collapsed="1"/>
    <col min="16" max="16" width="42.59765625" style="292" bestFit="1" customWidth="1" collapsed="1"/>
    <col min="17" max="17" width="30" style="292" bestFit="1" customWidth="1" collapsed="1"/>
    <col min="18" max="18" width="42.19921875" style="292" bestFit="1" customWidth="1" collapsed="1"/>
    <col min="19" max="19" width="26.3984375" style="292" bestFit="1" customWidth="1" collapsed="1"/>
    <col min="20" max="20" width="42.59765625" style="292" bestFit="1" customWidth="1" collapsed="1"/>
    <col min="21" max="16384" width="9.3984375" style="292" collapsed="1"/>
  </cols>
  <sheetData>
    <row r="1" spans="1:20" ht="18" x14ac:dyDescent="0.2">
      <c r="A1" s="291" t="s">
        <v>1801</v>
      </c>
    </row>
    <row r="3" spans="1:20" ht="17.25" customHeight="1" x14ac:dyDescent="0.2">
      <c r="A3" s="689" t="s">
        <v>17</v>
      </c>
      <c r="B3" s="689"/>
      <c r="C3" s="689"/>
      <c r="D3" s="689"/>
      <c r="E3" s="689"/>
      <c r="F3" s="689"/>
      <c r="G3" s="689"/>
      <c r="H3" s="689"/>
      <c r="I3" s="689"/>
      <c r="J3" s="689"/>
      <c r="K3" s="690" t="s">
        <v>104</v>
      </c>
      <c r="L3" s="690"/>
      <c r="M3" s="690"/>
      <c r="N3" s="690"/>
      <c r="O3" s="690"/>
      <c r="P3" s="690"/>
      <c r="Q3" s="690"/>
      <c r="R3" s="690"/>
      <c r="S3" s="690"/>
      <c r="T3" s="690"/>
    </row>
    <row r="4" spans="1:20" ht="17.25" customHeight="1" x14ac:dyDescent="0.2">
      <c r="A4" s="689" t="s">
        <v>1802</v>
      </c>
      <c r="B4" s="689"/>
      <c r="C4" s="689"/>
      <c r="D4" s="689"/>
      <c r="E4" s="689"/>
      <c r="F4" s="690" t="s">
        <v>1803</v>
      </c>
      <c r="G4" s="690"/>
      <c r="H4" s="690"/>
      <c r="I4" s="690"/>
      <c r="J4" s="690"/>
      <c r="K4" s="689" t="s">
        <v>1802</v>
      </c>
      <c r="L4" s="689"/>
      <c r="M4" s="689"/>
      <c r="N4" s="689"/>
      <c r="O4" s="689"/>
      <c r="P4" s="690" t="s">
        <v>1803</v>
      </c>
      <c r="Q4" s="690"/>
      <c r="R4" s="690"/>
      <c r="S4" s="690"/>
      <c r="T4" s="690"/>
    </row>
    <row r="5" spans="1:20" x14ac:dyDescent="0.2">
      <c r="A5" s="686"/>
      <c r="B5" s="686"/>
      <c r="C5" s="692" t="s">
        <v>1714</v>
      </c>
      <c r="D5" s="692"/>
      <c r="E5" s="692"/>
      <c r="F5" s="692"/>
      <c r="G5" s="692"/>
      <c r="H5" s="692"/>
      <c r="I5" s="686"/>
      <c r="J5" s="686"/>
      <c r="K5" s="686"/>
      <c r="L5" s="686"/>
      <c r="M5" s="692" t="s">
        <v>1714</v>
      </c>
      <c r="N5" s="692"/>
      <c r="O5" s="692"/>
      <c r="P5" s="692"/>
      <c r="Q5" s="692"/>
      <c r="R5" s="692"/>
      <c r="S5" s="686"/>
      <c r="T5" s="686"/>
    </row>
    <row r="6" spans="1:20" x14ac:dyDescent="0.2">
      <c r="A6" s="686"/>
      <c r="B6" s="686"/>
      <c r="C6" s="691" t="s">
        <v>1716</v>
      </c>
      <c r="D6" s="691"/>
      <c r="E6" s="691"/>
      <c r="F6" s="691"/>
      <c r="G6" s="691"/>
      <c r="H6" s="691"/>
      <c r="I6" s="686"/>
      <c r="J6" s="686"/>
      <c r="K6" s="686"/>
      <c r="L6" s="686"/>
      <c r="M6" s="691" t="s">
        <v>1716</v>
      </c>
      <c r="N6" s="691"/>
      <c r="O6" s="691"/>
      <c r="P6" s="691"/>
      <c r="Q6" s="691"/>
      <c r="R6" s="691"/>
      <c r="S6" s="686"/>
      <c r="T6" s="686"/>
    </row>
    <row r="7" spans="1:20" x14ac:dyDescent="0.2">
      <c r="A7" s="686"/>
      <c r="B7" s="686"/>
      <c r="C7" s="293" t="s">
        <v>1735</v>
      </c>
      <c r="D7" s="293" t="s">
        <v>1736</v>
      </c>
      <c r="E7" s="293" t="s">
        <v>1737</v>
      </c>
      <c r="F7" s="293" t="s">
        <v>1738</v>
      </c>
      <c r="G7" s="293" t="s">
        <v>1739</v>
      </c>
      <c r="H7" s="293" t="s">
        <v>1740</v>
      </c>
      <c r="I7" s="686"/>
      <c r="J7" s="686"/>
      <c r="K7" s="686"/>
      <c r="L7" s="686"/>
      <c r="M7" s="293" t="s">
        <v>1735</v>
      </c>
      <c r="N7" s="293" t="s">
        <v>1736</v>
      </c>
      <c r="O7" s="293" t="s">
        <v>1737</v>
      </c>
      <c r="P7" s="293" t="s">
        <v>1738</v>
      </c>
      <c r="Q7" s="293" t="s">
        <v>1739</v>
      </c>
      <c r="R7" s="293" t="s">
        <v>1740</v>
      </c>
      <c r="S7" s="686"/>
      <c r="T7" s="686"/>
    </row>
    <row r="8" spans="1:20" x14ac:dyDescent="0.2">
      <c r="A8" s="686"/>
      <c r="B8" s="686"/>
      <c r="C8" s="294" t="s">
        <v>1741</v>
      </c>
      <c r="D8" s="294" t="s">
        <v>1742</v>
      </c>
      <c r="E8" s="294" t="s">
        <v>1743</v>
      </c>
      <c r="F8" s="294" t="s">
        <v>1744</v>
      </c>
      <c r="G8" s="294" t="s">
        <v>1745</v>
      </c>
      <c r="H8" s="294" t="s">
        <v>1746</v>
      </c>
      <c r="I8" s="686"/>
      <c r="J8" s="686"/>
      <c r="K8" s="686"/>
      <c r="L8" s="686"/>
      <c r="M8" s="294" t="s">
        <v>1741</v>
      </c>
      <c r="N8" s="294" t="s">
        <v>1742</v>
      </c>
      <c r="O8" s="294" t="s">
        <v>1743</v>
      </c>
      <c r="P8" s="294" t="s">
        <v>1744</v>
      </c>
      <c r="Q8" s="294" t="s">
        <v>1745</v>
      </c>
      <c r="R8" s="294" t="s">
        <v>1746</v>
      </c>
      <c r="S8" s="686"/>
      <c r="T8" s="686"/>
    </row>
    <row r="9" spans="1:20" ht="16" thickBot="1" x14ac:dyDescent="0.25">
      <c r="A9" s="693" t="s">
        <v>1691</v>
      </c>
      <c r="B9" s="295" t="s">
        <v>1775</v>
      </c>
      <c r="C9" s="296"/>
      <c r="D9" s="296"/>
      <c r="E9" s="296"/>
      <c r="F9" s="296"/>
      <c r="G9" s="296"/>
      <c r="H9" s="297"/>
      <c r="I9" s="695" t="s">
        <v>1691</v>
      </c>
      <c r="J9" s="298" t="s">
        <v>1776</v>
      </c>
      <c r="K9" s="693" t="s">
        <v>1691</v>
      </c>
      <c r="L9" s="295" t="s">
        <v>1775</v>
      </c>
      <c r="M9" s="296"/>
      <c r="N9" s="296"/>
      <c r="O9" s="296"/>
      <c r="P9" s="296"/>
      <c r="Q9" s="296"/>
      <c r="R9" s="297"/>
      <c r="S9" s="695" t="s">
        <v>1691</v>
      </c>
      <c r="T9" s="298" t="s">
        <v>1776</v>
      </c>
    </row>
    <row r="10" spans="1:20" ht="16" thickBot="1" x14ac:dyDescent="0.25">
      <c r="A10" s="693"/>
      <c r="B10" s="295" t="s">
        <v>1777</v>
      </c>
      <c r="C10" s="296"/>
      <c r="D10" s="296"/>
      <c r="E10" s="296"/>
      <c r="F10" s="296"/>
      <c r="G10" s="296"/>
      <c r="H10" s="297"/>
      <c r="I10" s="695"/>
      <c r="J10" s="298" t="s">
        <v>1778</v>
      </c>
      <c r="K10" s="693"/>
      <c r="L10" s="295" t="s">
        <v>1777</v>
      </c>
      <c r="M10" s="296"/>
      <c r="N10" s="296"/>
      <c r="O10" s="296"/>
      <c r="P10" s="296"/>
      <c r="Q10" s="296"/>
      <c r="R10" s="297"/>
      <c r="S10" s="695"/>
      <c r="T10" s="298" t="s">
        <v>1778</v>
      </c>
    </row>
    <row r="11" spans="1:20" ht="16" thickBot="1" x14ac:dyDescent="0.25">
      <c r="A11" s="693"/>
      <c r="B11" s="295" t="s">
        <v>1779</v>
      </c>
      <c r="C11" s="296"/>
      <c r="D11" s="296"/>
      <c r="E11" s="296"/>
      <c r="F11" s="296"/>
      <c r="G11" s="296"/>
      <c r="H11" s="297"/>
      <c r="I11" s="695"/>
      <c r="J11" s="298" t="s">
        <v>1780</v>
      </c>
      <c r="K11" s="693"/>
      <c r="L11" s="295" t="s">
        <v>1779</v>
      </c>
      <c r="M11" s="296"/>
      <c r="N11" s="296"/>
      <c r="O11" s="296"/>
      <c r="P11" s="296"/>
      <c r="Q11" s="296"/>
      <c r="R11" s="297"/>
      <c r="S11" s="695"/>
      <c r="T11" s="298" t="s">
        <v>1780</v>
      </c>
    </row>
    <row r="12" spans="1:20" ht="16" thickBot="1" x14ac:dyDescent="0.25">
      <c r="A12" s="693"/>
      <c r="B12" s="295" t="s">
        <v>1781</v>
      </c>
      <c r="C12" s="296"/>
      <c r="D12" s="296"/>
      <c r="E12" s="296"/>
      <c r="F12" s="296"/>
      <c r="G12" s="296"/>
      <c r="H12" s="297"/>
      <c r="I12" s="695"/>
      <c r="J12" s="298" t="s">
        <v>1782</v>
      </c>
      <c r="K12" s="693"/>
      <c r="L12" s="295" t="s">
        <v>1781</v>
      </c>
      <c r="M12" s="296"/>
      <c r="N12" s="296"/>
      <c r="O12" s="296"/>
      <c r="P12" s="296"/>
      <c r="Q12" s="296"/>
      <c r="R12" s="297"/>
      <c r="S12" s="695"/>
      <c r="T12" s="298" t="s">
        <v>1782</v>
      </c>
    </row>
    <row r="13" spans="1:20" ht="16" thickBot="1" x14ac:dyDescent="0.25">
      <c r="A13" s="693"/>
      <c r="B13" s="295" t="s">
        <v>1783</v>
      </c>
      <c r="C13" s="296"/>
      <c r="D13" s="296"/>
      <c r="E13" s="296"/>
      <c r="F13" s="296"/>
      <c r="G13" s="296"/>
      <c r="H13" s="297"/>
      <c r="I13" s="695"/>
      <c r="J13" s="298" t="s">
        <v>1784</v>
      </c>
      <c r="K13" s="693"/>
      <c r="L13" s="295" t="s">
        <v>1783</v>
      </c>
      <c r="M13" s="296"/>
      <c r="N13" s="296"/>
      <c r="O13" s="296"/>
      <c r="P13" s="296"/>
      <c r="Q13" s="296"/>
      <c r="R13" s="297"/>
      <c r="S13" s="695"/>
      <c r="T13" s="298" t="s">
        <v>1784</v>
      </c>
    </row>
    <row r="14" spans="1:20" ht="29" thickBot="1" x14ac:dyDescent="0.25">
      <c r="A14" s="693"/>
      <c r="B14" s="295" t="s">
        <v>1785</v>
      </c>
      <c r="C14" s="296"/>
      <c r="D14" s="296"/>
      <c r="E14" s="296"/>
      <c r="F14" s="296"/>
      <c r="G14" s="296"/>
      <c r="H14" s="297"/>
      <c r="I14" s="695"/>
      <c r="J14" s="298" t="s">
        <v>1786</v>
      </c>
      <c r="K14" s="693"/>
      <c r="L14" s="295" t="s">
        <v>1785</v>
      </c>
      <c r="M14" s="296"/>
      <c r="N14" s="296"/>
      <c r="O14" s="296"/>
      <c r="P14" s="296"/>
      <c r="Q14" s="296"/>
      <c r="R14" s="297"/>
      <c r="S14" s="695"/>
      <c r="T14" s="298" t="s">
        <v>1786</v>
      </c>
    </row>
    <row r="15" spans="1:20" ht="16" thickBot="1" x14ac:dyDescent="0.25">
      <c r="A15" s="693"/>
      <c r="B15" s="295" t="s">
        <v>1787</v>
      </c>
      <c r="C15" s="296"/>
      <c r="D15" s="296"/>
      <c r="E15" s="296"/>
      <c r="F15" s="296"/>
      <c r="G15" s="296"/>
      <c r="H15" s="297"/>
      <c r="I15" s="695"/>
      <c r="J15" s="298" t="s">
        <v>1788</v>
      </c>
      <c r="K15" s="693"/>
      <c r="L15" s="295" t="s">
        <v>1787</v>
      </c>
      <c r="M15" s="296"/>
      <c r="N15" s="296"/>
      <c r="O15" s="296"/>
      <c r="P15" s="296"/>
      <c r="Q15" s="296"/>
      <c r="R15" s="297"/>
      <c r="S15" s="695"/>
      <c r="T15" s="298" t="s">
        <v>1788</v>
      </c>
    </row>
    <row r="16" spans="1:20" ht="16" thickBot="1" x14ac:dyDescent="0.25">
      <c r="A16" s="693"/>
      <c r="B16" s="295" t="s">
        <v>1789</v>
      </c>
      <c r="C16" s="296"/>
      <c r="D16" s="296"/>
      <c r="E16" s="296"/>
      <c r="F16" s="296"/>
      <c r="G16" s="296"/>
      <c r="H16" s="297"/>
      <c r="I16" s="695"/>
      <c r="J16" s="298" t="s">
        <v>1790</v>
      </c>
      <c r="K16" s="693"/>
      <c r="L16" s="295" t="s">
        <v>1789</v>
      </c>
      <c r="M16" s="296"/>
      <c r="N16" s="296"/>
      <c r="O16" s="296"/>
      <c r="P16" s="296"/>
      <c r="Q16" s="296"/>
      <c r="R16" s="297"/>
      <c r="S16" s="695"/>
      <c r="T16" s="298" t="s">
        <v>1790</v>
      </c>
    </row>
    <row r="17" spans="1:20" ht="16" thickBot="1" x14ac:dyDescent="0.25">
      <c r="A17" s="693"/>
      <c r="B17" s="295" t="s">
        <v>1791</v>
      </c>
      <c r="C17" s="296"/>
      <c r="D17" s="296"/>
      <c r="E17" s="296"/>
      <c r="F17" s="296"/>
      <c r="G17" s="296"/>
      <c r="H17" s="297"/>
      <c r="I17" s="695"/>
      <c r="J17" s="298" t="s">
        <v>1792</v>
      </c>
      <c r="K17" s="693"/>
      <c r="L17" s="295" t="s">
        <v>1791</v>
      </c>
      <c r="M17" s="296"/>
      <c r="N17" s="296"/>
      <c r="O17" s="296"/>
      <c r="P17" s="296"/>
      <c r="Q17" s="296"/>
      <c r="R17" s="297"/>
      <c r="S17" s="695"/>
      <c r="T17" s="298" t="s">
        <v>1792</v>
      </c>
    </row>
    <row r="18" spans="1:20" ht="16" thickBot="1" x14ac:dyDescent="0.25">
      <c r="A18" s="693"/>
      <c r="B18" s="295" t="s">
        <v>1793</v>
      </c>
      <c r="C18" s="296"/>
      <c r="D18" s="296"/>
      <c r="E18" s="296"/>
      <c r="F18" s="296"/>
      <c r="G18" s="296"/>
      <c r="H18" s="297"/>
      <c r="I18" s="695"/>
      <c r="J18" s="298" t="s">
        <v>1794</v>
      </c>
      <c r="K18" s="693"/>
      <c r="L18" s="295" t="s">
        <v>1793</v>
      </c>
      <c r="M18" s="296"/>
      <c r="N18" s="296"/>
      <c r="O18" s="296"/>
      <c r="P18" s="296"/>
      <c r="Q18" s="296"/>
      <c r="R18" s="297"/>
      <c r="S18" s="695"/>
      <c r="T18" s="298" t="s">
        <v>1794</v>
      </c>
    </row>
    <row r="19" spans="1:20" ht="16" thickBot="1" x14ac:dyDescent="0.25">
      <c r="A19" s="693"/>
      <c r="B19" s="295" t="s">
        <v>1795</v>
      </c>
      <c r="C19" s="296"/>
      <c r="D19" s="296"/>
      <c r="E19" s="296"/>
      <c r="F19" s="296"/>
      <c r="G19" s="296"/>
      <c r="H19" s="297"/>
      <c r="I19" s="695"/>
      <c r="J19" s="298" t="s">
        <v>1796</v>
      </c>
      <c r="K19" s="693"/>
      <c r="L19" s="295" t="s">
        <v>1795</v>
      </c>
      <c r="M19" s="296"/>
      <c r="N19" s="296"/>
      <c r="O19" s="296"/>
      <c r="P19" s="296"/>
      <c r="Q19" s="296"/>
      <c r="R19" s="297"/>
      <c r="S19" s="695"/>
      <c r="T19" s="298" t="s">
        <v>1796</v>
      </c>
    </row>
    <row r="20" spans="1:20" ht="29" thickBot="1" x14ac:dyDescent="0.25">
      <c r="A20" s="694"/>
      <c r="B20" s="299" t="s">
        <v>1797</v>
      </c>
      <c r="C20" s="297"/>
      <c r="D20" s="297"/>
      <c r="E20" s="297"/>
      <c r="F20" s="297"/>
      <c r="G20" s="297"/>
      <c r="H20" s="297"/>
      <c r="I20" s="696"/>
      <c r="J20" s="298" t="s">
        <v>1798</v>
      </c>
      <c r="K20" s="694"/>
      <c r="L20" s="299" t="s">
        <v>1797</v>
      </c>
      <c r="M20" s="297"/>
      <c r="N20" s="297"/>
      <c r="O20" s="297"/>
      <c r="P20" s="297"/>
      <c r="Q20" s="297"/>
      <c r="R20" s="297"/>
      <c r="S20" s="696"/>
      <c r="T20" s="298" t="s">
        <v>1798</v>
      </c>
    </row>
    <row r="21" spans="1:20" ht="16" thickBot="1" x14ac:dyDescent="0.25">
      <c r="A21" s="697" t="s">
        <v>1694</v>
      </c>
      <c r="B21" s="295" t="s">
        <v>1775</v>
      </c>
      <c r="C21" s="296"/>
      <c r="D21" s="296"/>
      <c r="E21" s="296"/>
      <c r="F21" s="296"/>
      <c r="G21" s="296"/>
      <c r="H21" s="297"/>
      <c r="I21" s="698" t="s">
        <v>1695</v>
      </c>
      <c r="J21" s="298" t="s">
        <v>1776</v>
      </c>
      <c r="K21" s="697" t="s">
        <v>1694</v>
      </c>
      <c r="L21" s="295" t="s">
        <v>1775</v>
      </c>
      <c r="M21" s="296"/>
      <c r="N21" s="296"/>
      <c r="O21" s="296"/>
      <c r="P21" s="296"/>
      <c r="Q21" s="296"/>
      <c r="R21" s="297"/>
      <c r="S21" s="698" t="s">
        <v>1695</v>
      </c>
      <c r="T21" s="298" t="s">
        <v>1776</v>
      </c>
    </row>
    <row r="22" spans="1:20" ht="16" thickBot="1" x14ac:dyDescent="0.25">
      <c r="A22" s="693"/>
      <c r="B22" s="295" t="s">
        <v>1777</v>
      </c>
      <c r="C22" s="296"/>
      <c r="D22" s="296"/>
      <c r="E22" s="296"/>
      <c r="F22" s="296"/>
      <c r="G22" s="296"/>
      <c r="H22" s="297"/>
      <c r="I22" s="695"/>
      <c r="J22" s="298" t="s">
        <v>1778</v>
      </c>
      <c r="K22" s="693"/>
      <c r="L22" s="295" t="s">
        <v>1777</v>
      </c>
      <c r="M22" s="296"/>
      <c r="N22" s="296"/>
      <c r="O22" s="296"/>
      <c r="P22" s="296"/>
      <c r="Q22" s="296"/>
      <c r="R22" s="297"/>
      <c r="S22" s="695"/>
      <c r="T22" s="298" t="s">
        <v>1778</v>
      </c>
    </row>
    <row r="23" spans="1:20" ht="16" thickBot="1" x14ac:dyDescent="0.25">
      <c r="A23" s="693"/>
      <c r="B23" s="295" t="s">
        <v>1779</v>
      </c>
      <c r="C23" s="296"/>
      <c r="D23" s="296"/>
      <c r="E23" s="296"/>
      <c r="F23" s="296"/>
      <c r="G23" s="296"/>
      <c r="H23" s="297"/>
      <c r="I23" s="695"/>
      <c r="J23" s="298" t="s">
        <v>1780</v>
      </c>
      <c r="K23" s="693"/>
      <c r="L23" s="295" t="s">
        <v>1779</v>
      </c>
      <c r="M23" s="296"/>
      <c r="N23" s="296"/>
      <c r="O23" s="296"/>
      <c r="P23" s="296"/>
      <c r="Q23" s="296"/>
      <c r="R23" s="297"/>
      <c r="S23" s="695"/>
      <c r="T23" s="298" t="s">
        <v>1780</v>
      </c>
    </row>
    <row r="24" spans="1:20" ht="16" thickBot="1" x14ac:dyDescent="0.25">
      <c r="A24" s="693"/>
      <c r="B24" s="295" t="s">
        <v>1781</v>
      </c>
      <c r="C24" s="296"/>
      <c r="D24" s="296"/>
      <c r="E24" s="296"/>
      <c r="F24" s="296"/>
      <c r="G24" s="296"/>
      <c r="H24" s="297"/>
      <c r="I24" s="695"/>
      <c r="J24" s="298" t="s">
        <v>1782</v>
      </c>
      <c r="K24" s="693"/>
      <c r="L24" s="295" t="s">
        <v>1781</v>
      </c>
      <c r="M24" s="296"/>
      <c r="N24" s="296"/>
      <c r="O24" s="296"/>
      <c r="P24" s="296"/>
      <c r="Q24" s="296"/>
      <c r="R24" s="297"/>
      <c r="S24" s="695"/>
      <c r="T24" s="298" t="s">
        <v>1782</v>
      </c>
    </row>
    <row r="25" spans="1:20" ht="16" thickBot="1" x14ac:dyDescent="0.25">
      <c r="A25" s="693"/>
      <c r="B25" s="295" t="s">
        <v>1783</v>
      </c>
      <c r="C25" s="296"/>
      <c r="D25" s="296"/>
      <c r="E25" s="296"/>
      <c r="F25" s="296"/>
      <c r="G25" s="296"/>
      <c r="H25" s="297"/>
      <c r="I25" s="695"/>
      <c r="J25" s="298" t="s">
        <v>1784</v>
      </c>
      <c r="K25" s="693"/>
      <c r="L25" s="295" t="s">
        <v>1783</v>
      </c>
      <c r="M25" s="296"/>
      <c r="N25" s="296"/>
      <c r="O25" s="296"/>
      <c r="P25" s="296"/>
      <c r="Q25" s="296"/>
      <c r="R25" s="297"/>
      <c r="S25" s="695"/>
      <c r="T25" s="298" t="s">
        <v>1784</v>
      </c>
    </row>
    <row r="26" spans="1:20" ht="29" thickBot="1" x14ac:dyDescent="0.25">
      <c r="A26" s="693"/>
      <c r="B26" s="295" t="s">
        <v>1785</v>
      </c>
      <c r="C26" s="296"/>
      <c r="D26" s="296"/>
      <c r="E26" s="296"/>
      <c r="F26" s="296"/>
      <c r="G26" s="296"/>
      <c r="H26" s="297"/>
      <c r="I26" s="695"/>
      <c r="J26" s="298" t="s">
        <v>1786</v>
      </c>
      <c r="K26" s="693"/>
      <c r="L26" s="295" t="s">
        <v>1785</v>
      </c>
      <c r="M26" s="296"/>
      <c r="N26" s="296"/>
      <c r="O26" s="296"/>
      <c r="P26" s="296"/>
      <c r="Q26" s="296"/>
      <c r="R26" s="297"/>
      <c r="S26" s="695"/>
      <c r="T26" s="298" t="s">
        <v>1786</v>
      </c>
    </row>
    <row r="27" spans="1:20" ht="16" thickBot="1" x14ac:dyDescent="0.25">
      <c r="A27" s="693"/>
      <c r="B27" s="295" t="s">
        <v>1787</v>
      </c>
      <c r="C27" s="296"/>
      <c r="D27" s="296"/>
      <c r="E27" s="296"/>
      <c r="F27" s="296"/>
      <c r="G27" s="296"/>
      <c r="H27" s="297"/>
      <c r="I27" s="695"/>
      <c r="J27" s="298" t="s">
        <v>1788</v>
      </c>
      <c r="K27" s="693"/>
      <c r="L27" s="295" t="s">
        <v>1787</v>
      </c>
      <c r="M27" s="296"/>
      <c r="N27" s="296"/>
      <c r="O27" s="296"/>
      <c r="P27" s="296"/>
      <c r="Q27" s="296"/>
      <c r="R27" s="297"/>
      <c r="S27" s="695"/>
      <c r="T27" s="298" t="s">
        <v>1788</v>
      </c>
    </row>
    <row r="28" spans="1:20" ht="16" thickBot="1" x14ac:dyDescent="0.25">
      <c r="A28" s="693"/>
      <c r="B28" s="295" t="s">
        <v>1789</v>
      </c>
      <c r="C28" s="296"/>
      <c r="D28" s="296"/>
      <c r="E28" s="296"/>
      <c r="F28" s="296"/>
      <c r="G28" s="296"/>
      <c r="H28" s="297"/>
      <c r="I28" s="695"/>
      <c r="J28" s="298" t="s">
        <v>1790</v>
      </c>
      <c r="K28" s="693"/>
      <c r="L28" s="295" t="s">
        <v>1789</v>
      </c>
      <c r="M28" s="296"/>
      <c r="N28" s="296"/>
      <c r="O28" s="296"/>
      <c r="P28" s="296"/>
      <c r="Q28" s="296"/>
      <c r="R28" s="297"/>
      <c r="S28" s="695"/>
      <c r="T28" s="298" t="s">
        <v>1790</v>
      </c>
    </row>
    <row r="29" spans="1:20" ht="16" thickBot="1" x14ac:dyDescent="0.25">
      <c r="A29" s="693"/>
      <c r="B29" s="295" t="s">
        <v>1791</v>
      </c>
      <c r="C29" s="296"/>
      <c r="D29" s="296"/>
      <c r="E29" s="296"/>
      <c r="F29" s="296"/>
      <c r="G29" s="296"/>
      <c r="H29" s="297"/>
      <c r="I29" s="695"/>
      <c r="J29" s="298" t="s">
        <v>1792</v>
      </c>
      <c r="K29" s="693"/>
      <c r="L29" s="295" t="s">
        <v>1791</v>
      </c>
      <c r="M29" s="296"/>
      <c r="N29" s="296"/>
      <c r="O29" s="296"/>
      <c r="P29" s="296"/>
      <c r="Q29" s="296"/>
      <c r="R29" s="297"/>
      <c r="S29" s="695"/>
      <c r="T29" s="298" t="s">
        <v>1792</v>
      </c>
    </row>
    <row r="30" spans="1:20" ht="16" thickBot="1" x14ac:dyDescent="0.25">
      <c r="A30" s="693"/>
      <c r="B30" s="295" t="s">
        <v>1793</v>
      </c>
      <c r="C30" s="296"/>
      <c r="D30" s="296"/>
      <c r="E30" s="296"/>
      <c r="F30" s="296"/>
      <c r="G30" s="296"/>
      <c r="H30" s="297"/>
      <c r="I30" s="695"/>
      <c r="J30" s="298" t="s">
        <v>1794</v>
      </c>
      <c r="K30" s="693"/>
      <c r="L30" s="295" t="s">
        <v>1793</v>
      </c>
      <c r="M30" s="296"/>
      <c r="N30" s="296"/>
      <c r="O30" s="296"/>
      <c r="P30" s="296"/>
      <c r="Q30" s="296"/>
      <c r="R30" s="297"/>
      <c r="S30" s="695"/>
      <c r="T30" s="298" t="s">
        <v>1794</v>
      </c>
    </row>
    <row r="31" spans="1:20" ht="16" thickBot="1" x14ac:dyDescent="0.25">
      <c r="A31" s="693"/>
      <c r="B31" s="295" t="s">
        <v>1795</v>
      </c>
      <c r="C31" s="296"/>
      <c r="D31" s="296"/>
      <c r="E31" s="296"/>
      <c r="F31" s="296"/>
      <c r="G31" s="296"/>
      <c r="H31" s="297"/>
      <c r="I31" s="695"/>
      <c r="J31" s="298" t="s">
        <v>1796</v>
      </c>
      <c r="K31" s="693"/>
      <c r="L31" s="295" t="s">
        <v>1795</v>
      </c>
      <c r="M31" s="296"/>
      <c r="N31" s="296"/>
      <c r="O31" s="296"/>
      <c r="P31" s="296"/>
      <c r="Q31" s="296"/>
      <c r="R31" s="297"/>
      <c r="S31" s="695"/>
      <c r="T31" s="298" t="s">
        <v>1796</v>
      </c>
    </row>
    <row r="32" spans="1:20" ht="29" thickBot="1" x14ac:dyDescent="0.25">
      <c r="A32" s="694"/>
      <c r="B32" s="299" t="s">
        <v>1797</v>
      </c>
      <c r="C32" s="297"/>
      <c r="D32" s="297"/>
      <c r="E32" s="297"/>
      <c r="F32" s="297"/>
      <c r="G32" s="297"/>
      <c r="H32" s="297"/>
      <c r="I32" s="696"/>
      <c r="J32" s="298" t="s">
        <v>1798</v>
      </c>
      <c r="K32" s="694"/>
      <c r="L32" s="299" t="s">
        <v>1797</v>
      </c>
      <c r="M32" s="297"/>
      <c r="N32" s="297"/>
      <c r="O32" s="297"/>
      <c r="P32" s="297"/>
      <c r="Q32" s="297"/>
      <c r="R32" s="297"/>
      <c r="S32" s="696"/>
      <c r="T32" s="298" t="s">
        <v>1798</v>
      </c>
    </row>
    <row r="33" spans="1:20" ht="17.25" customHeight="1" x14ac:dyDescent="0.2">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x14ac:dyDescent="0.2">
      <c r="A34" s="689" t="s">
        <v>1802</v>
      </c>
      <c r="B34" s="689"/>
      <c r="C34" s="689"/>
      <c r="D34" s="689"/>
      <c r="E34" s="689"/>
      <c r="F34" s="690" t="s">
        <v>1803</v>
      </c>
      <c r="G34" s="690"/>
      <c r="H34" s="690"/>
      <c r="I34" s="690"/>
      <c r="J34" s="690"/>
      <c r="K34" s="689" t="s">
        <v>1802</v>
      </c>
      <c r="L34" s="689"/>
      <c r="M34" s="689"/>
      <c r="N34" s="689"/>
      <c r="O34" s="689"/>
      <c r="P34" s="690" t="s">
        <v>1803</v>
      </c>
      <c r="Q34" s="690"/>
      <c r="R34" s="690"/>
      <c r="S34" s="690"/>
      <c r="T34" s="690"/>
    </row>
    <row r="35" spans="1:20" x14ac:dyDescent="0.2">
      <c r="A35" s="686"/>
      <c r="B35" s="686"/>
      <c r="C35" s="692" t="s">
        <v>1714</v>
      </c>
      <c r="D35" s="692"/>
      <c r="E35" s="692"/>
      <c r="F35" s="692"/>
      <c r="G35" s="692"/>
      <c r="H35" s="692"/>
      <c r="I35" s="686"/>
      <c r="J35" s="686"/>
      <c r="K35" s="686"/>
      <c r="L35" s="686"/>
      <c r="M35" s="692" t="s">
        <v>1714</v>
      </c>
      <c r="N35" s="692"/>
      <c r="O35" s="692"/>
      <c r="P35" s="692"/>
      <c r="Q35" s="692"/>
      <c r="R35" s="692"/>
      <c r="S35" s="686"/>
      <c r="T35" s="686"/>
    </row>
    <row r="36" spans="1:20" x14ac:dyDescent="0.2">
      <c r="A36" s="686"/>
      <c r="B36" s="686"/>
      <c r="C36" s="691" t="s">
        <v>1716</v>
      </c>
      <c r="D36" s="691"/>
      <c r="E36" s="691"/>
      <c r="F36" s="691"/>
      <c r="G36" s="691"/>
      <c r="H36" s="691"/>
      <c r="I36" s="686"/>
      <c r="J36" s="686"/>
      <c r="K36" s="686"/>
      <c r="L36" s="686"/>
      <c r="M36" s="691" t="s">
        <v>1716</v>
      </c>
      <c r="N36" s="691"/>
      <c r="O36" s="691"/>
      <c r="P36" s="691"/>
      <c r="Q36" s="691"/>
      <c r="R36" s="691"/>
      <c r="S36" s="686"/>
      <c r="T36" s="686"/>
    </row>
    <row r="37" spans="1:20" x14ac:dyDescent="0.2">
      <c r="A37" s="686"/>
      <c r="B37" s="686"/>
      <c r="C37" s="293" t="s">
        <v>1735</v>
      </c>
      <c r="D37" s="293" t="s">
        <v>1736</v>
      </c>
      <c r="E37" s="293" t="s">
        <v>1737</v>
      </c>
      <c r="F37" s="293" t="s">
        <v>1738</v>
      </c>
      <c r="G37" s="293" t="s">
        <v>1739</v>
      </c>
      <c r="H37" s="293" t="s">
        <v>1740</v>
      </c>
      <c r="I37" s="686"/>
      <c r="J37" s="686"/>
      <c r="K37" s="686"/>
      <c r="L37" s="686"/>
      <c r="M37" s="293" t="s">
        <v>1735</v>
      </c>
      <c r="N37" s="293" t="s">
        <v>1736</v>
      </c>
      <c r="O37" s="293" t="s">
        <v>1737</v>
      </c>
      <c r="P37" s="293" t="s">
        <v>1738</v>
      </c>
      <c r="Q37" s="293" t="s">
        <v>1739</v>
      </c>
      <c r="R37" s="293" t="s">
        <v>1740</v>
      </c>
      <c r="S37" s="686"/>
      <c r="T37" s="686"/>
    </row>
    <row r="38" spans="1:20" x14ac:dyDescent="0.2">
      <c r="A38" s="686"/>
      <c r="B38" s="686"/>
      <c r="C38" s="294" t="s">
        <v>1741</v>
      </c>
      <c r="D38" s="294" t="s">
        <v>1742</v>
      </c>
      <c r="E38" s="294" t="s">
        <v>1743</v>
      </c>
      <c r="F38" s="294" t="s">
        <v>1744</v>
      </c>
      <c r="G38" s="294" t="s">
        <v>1745</v>
      </c>
      <c r="H38" s="294" t="s">
        <v>1746</v>
      </c>
      <c r="I38" s="686"/>
      <c r="J38" s="686"/>
      <c r="K38" s="686"/>
      <c r="L38" s="686"/>
      <c r="M38" s="294" t="s">
        <v>1741</v>
      </c>
      <c r="N38" s="294" t="s">
        <v>1742</v>
      </c>
      <c r="O38" s="294" t="s">
        <v>1743</v>
      </c>
      <c r="P38" s="294" t="s">
        <v>1744</v>
      </c>
      <c r="Q38" s="294" t="s">
        <v>1745</v>
      </c>
      <c r="R38" s="294" t="s">
        <v>1746</v>
      </c>
      <c r="S38" s="686"/>
      <c r="T38" s="686"/>
    </row>
    <row r="39" spans="1:20" ht="29" thickBot="1" x14ac:dyDescent="0.25">
      <c r="A39" s="295" t="s">
        <v>1696</v>
      </c>
      <c r="B39" s="299" t="s">
        <v>1797</v>
      </c>
      <c r="C39" s="297"/>
      <c r="D39" s="297"/>
      <c r="E39" s="297"/>
      <c r="F39" s="297"/>
      <c r="G39" s="297"/>
      <c r="H39" s="297"/>
      <c r="I39" s="298" t="s">
        <v>1697</v>
      </c>
      <c r="J39" s="298" t="s">
        <v>1798</v>
      </c>
      <c r="K39" s="295" t="s">
        <v>1696</v>
      </c>
      <c r="L39" s="299" t="s">
        <v>1797</v>
      </c>
      <c r="M39" s="297"/>
      <c r="N39" s="297"/>
      <c r="O39" s="297"/>
      <c r="P39" s="297"/>
      <c r="Q39" s="297"/>
      <c r="R39" s="297"/>
      <c r="S39" s="298" t="s">
        <v>1697</v>
      </c>
      <c r="T39" s="298" t="s">
        <v>1798</v>
      </c>
    </row>
    <row r="40" spans="1:20" ht="17.25" customHeight="1" x14ac:dyDescent="0.2">
      <c r="A40" s="687" t="s">
        <v>17</v>
      </c>
      <c r="B40" s="687"/>
      <c r="C40" s="687"/>
      <c r="D40" s="687"/>
      <c r="E40" s="687"/>
      <c r="F40" s="687"/>
      <c r="G40" s="687"/>
      <c r="H40" s="687"/>
      <c r="I40" s="688" t="s">
        <v>104</v>
      </c>
      <c r="J40" s="688"/>
      <c r="K40" s="688"/>
      <c r="L40" s="688"/>
      <c r="M40" s="688"/>
      <c r="N40" s="688"/>
      <c r="O40" s="688"/>
      <c r="P40" s="688"/>
    </row>
    <row r="41" spans="1:20" ht="17.25" customHeight="1" x14ac:dyDescent="0.2">
      <c r="A41" s="689" t="s">
        <v>1802</v>
      </c>
      <c r="B41" s="689"/>
      <c r="C41" s="689"/>
      <c r="D41" s="689"/>
      <c r="E41" s="690" t="s">
        <v>1803</v>
      </c>
      <c r="F41" s="690"/>
      <c r="G41" s="690"/>
      <c r="H41" s="690"/>
      <c r="I41" s="689" t="s">
        <v>1802</v>
      </c>
      <c r="J41" s="689"/>
      <c r="K41" s="689"/>
      <c r="L41" s="689"/>
      <c r="M41" s="690" t="s">
        <v>1803</v>
      </c>
      <c r="N41" s="690"/>
      <c r="O41" s="690"/>
      <c r="P41" s="690"/>
    </row>
    <row r="42" spans="1:20" x14ac:dyDescent="0.2">
      <c r="A42" s="686"/>
      <c r="B42" s="293" t="s">
        <v>1735</v>
      </c>
      <c r="C42" s="293" t="s">
        <v>1736</v>
      </c>
      <c r="D42" s="293" t="s">
        <v>1737</v>
      </c>
      <c r="E42" s="293" t="s">
        <v>1738</v>
      </c>
      <c r="F42" s="293" t="s">
        <v>1739</v>
      </c>
      <c r="G42" s="293" t="s">
        <v>1740</v>
      </c>
      <c r="H42" s="686"/>
      <c r="I42" s="686"/>
      <c r="J42" s="293" t="s">
        <v>1735</v>
      </c>
      <c r="K42" s="293" t="s">
        <v>1736</v>
      </c>
      <c r="L42" s="293" t="s">
        <v>1737</v>
      </c>
      <c r="M42" s="293" t="s">
        <v>1738</v>
      </c>
      <c r="N42" s="293" t="s">
        <v>1739</v>
      </c>
      <c r="O42" s="293" t="s">
        <v>1740</v>
      </c>
      <c r="P42" s="686"/>
    </row>
    <row r="43" spans="1:20" ht="25" x14ac:dyDescent="0.2">
      <c r="A43" s="686"/>
      <c r="B43" s="294" t="s">
        <v>1741</v>
      </c>
      <c r="C43" s="294" t="s">
        <v>1742</v>
      </c>
      <c r="D43" s="294" t="s">
        <v>1743</v>
      </c>
      <c r="E43" s="294" t="s">
        <v>1744</v>
      </c>
      <c r="F43" s="294" t="s">
        <v>1745</v>
      </c>
      <c r="G43" s="294" t="s">
        <v>1746</v>
      </c>
      <c r="H43" s="686"/>
      <c r="I43" s="686"/>
      <c r="J43" s="294" t="s">
        <v>1741</v>
      </c>
      <c r="K43" s="294" t="s">
        <v>1742</v>
      </c>
      <c r="L43" s="294" t="s">
        <v>1743</v>
      </c>
      <c r="M43" s="294" t="s">
        <v>1744</v>
      </c>
      <c r="N43" s="294" t="s">
        <v>1745</v>
      </c>
      <c r="O43" s="294" t="s">
        <v>1746</v>
      </c>
      <c r="P43" s="686"/>
    </row>
    <row r="44" spans="1:20" ht="29" thickBot="1" x14ac:dyDescent="0.25">
      <c r="A44" s="299" t="s">
        <v>1804</v>
      </c>
      <c r="B44" s="300"/>
      <c r="C44" s="300"/>
      <c r="D44" s="300"/>
      <c r="E44" s="300"/>
      <c r="F44" s="300"/>
      <c r="G44" s="300"/>
      <c r="H44" s="301" t="s">
        <v>1805</v>
      </c>
      <c r="I44" s="299" t="s">
        <v>1804</v>
      </c>
      <c r="J44" s="300"/>
      <c r="K44" s="300"/>
      <c r="L44" s="300"/>
      <c r="M44" s="300"/>
      <c r="N44" s="300"/>
      <c r="O44" s="300"/>
      <c r="P44" s="301" t="s">
        <v>1805</v>
      </c>
    </row>
    <row r="45" spans="1:20" ht="16" thickBot="1" x14ac:dyDescent="0.25">
      <c r="A45" s="302" t="s">
        <v>1714</v>
      </c>
      <c r="B45" s="297"/>
      <c r="C45" s="297"/>
      <c r="D45" s="297"/>
      <c r="E45" s="297"/>
      <c r="F45" s="297"/>
      <c r="G45" s="297"/>
      <c r="H45" s="301" t="s">
        <v>1716</v>
      </c>
      <c r="I45" s="302" t="s">
        <v>1714</v>
      </c>
      <c r="J45" s="297"/>
      <c r="K45" s="297"/>
      <c r="L45" s="297"/>
      <c r="M45" s="297"/>
      <c r="N45" s="297"/>
      <c r="O45" s="297"/>
      <c r="P45" s="301" t="s">
        <v>1716</v>
      </c>
    </row>
    <row r="46" spans="1:20" ht="29" thickBot="1" x14ac:dyDescent="0.25">
      <c r="A46" s="303" t="s">
        <v>511</v>
      </c>
      <c r="B46" s="304"/>
      <c r="C46" s="304"/>
      <c r="D46" s="304"/>
      <c r="E46" s="304"/>
      <c r="F46" s="304"/>
      <c r="G46" s="304"/>
      <c r="H46" s="298" t="s">
        <v>512</v>
      </c>
      <c r="I46" s="303" t="s">
        <v>511</v>
      </c>
      <c r="J46" s="304"/>
      <c r="K46" s="304"/>
      <c r="L46" s="304"/>
      <c r="M46" s="304"/>
      <c r="N46" s="304"/>
      <c r="O46" s="304"/>
      <c r="P46" s="298" t="s">
        <v>512</v>
      </c>
    </row>
    <row r="47" spans="1:20" ht="29" thickBot="1" x14ac:dyDescent="0.25">
      <c r="A47" s="303" t="s">
        <v>519</v>
      </c>
      <c r="B47" s="304"/>
      <c r="C47" s="304"/>
      <c r="D47" s="304"/>
      <c r="E47" s="304"/>
      <c r="F47" s="304"/>
      <c r="G47" s="304"/>
      <c r="H47" s="298" t="s">
        <v>520</v>
      </c>
      <c r="I47" s="303" t="s">
        <v>519</v>
      </c>
      <c r="J47" s="304"/>
      <c r="K47" s="304"/>
      <c r="L47" s="304"/>
      <c r="M47" s="304"/>
      <c r="N47" s="304"/>
      <c r="O47" s="304"/>
      <c r="P47" s="298" t="s">
        <v>520</v>
      </c>
    </row>
    <row r="48" spans="1:20" ht="29" thickBot="1" x14ac:dyDescent="0.25">
      <c r="A48" s="303" t="s">
        <v>527</v>
      </c>
      <c r="B48" s="304"/>
      <c r="C48" s="304"/>
      <c r="D48" s="304"/>
      <c r="E48" s="304"/>
      <c r="F48" s="304"/>
      <c r="G48" s="304"/>
      <c r="H48" s="298" t="s">
        <v>528</v>
      </c>
      <c r="I48" s="303" t="s">
        <v>527</v>
      </c>
      <c r="J48" s="304"/>
      <c r="K48" s="304"/>
      <c r="L48" s="304"/>
      <c r="M48" s="304"/>
      <c r="N48" s="304"/>
      <c r="O48" s="304"/>
      <c r="P48" s="298" t="s">
        <v>528</v>
      </c>
    </row>
    <row r="49" spans="1:16" ht="29" thickBot="1" x14ac:dyDescent="0.25">
      <c r="A49" s="303" t="s">
        <v>543</v>
      </c>
      <c r="B49" s="304"/>
      <c r="C49" s="304"/>
      <c r="D49" s="304"/>
      <c r="E49" s="304"/>
      <c r="F49" s="304"/>
      <c r="G49" s="304"/>
      <c r="H49" s="298" t="s">
        <v>544</v>
      </c>
      <c r="I49" s="303" t="s">
        <v>543</v>
      </c>
      <c r="J49" s="304"/>
      <c r="K49" s="304"/>
      <c r="L49" s="304"/>
      <c r="M49" s="304"/>
      <c r="N49" s="304"/>
      <c r="O49" s="304"/>
      <c r="P49" s="298" t="s">
        <v>544</v>
      </c>
    </row>
    <row r="50" spans="1:16" ht="29" thickBot="1" x14ac:dyDescent="0.25">
      <c r="A50" s="303" t="s">
        <v>551</v>
      </c>
      <c r="B50" s="304"/>
      <c r="C50" s="304"/>
      <c r="D50" s="304"/>
      <c r="E50" s="304"/>
      <c r="F50" s="304"/>
      <c r="G50" s="304"/>
      <c r="H50" s="298" t="s">
        <v>552</v>
      </c>
      <c r="I50" s="303" t="s">
        <v>551</v>
      </c>
      <c r="J50" s="304"/>
      <c r="K50" s="304"/>
      <c r="L50" s="304"/>
      <c r="M50" s="304"/>
      <c r="N50" s="304"/>
      <c r="O50" s="304"/>
      <c r="P50" s="298" t="s">
        <v>552</v>
      </c>
    </row>
    <row r="51" spans="1:16" ht="29" thickBot="1" x14ac:dyDescent="0.25">
      <c r="A51" s="303" t="s">
        <v>559</v>
      </c>
      <c r="B51" s="304"/>
      <c r="C51" s="304"/>
      <c r="D51" s="304"/>
      <c r="E51" s="304"/>
      <c r="F51" s="304"/>
      <c r="G51" s="304"/>
      <c r="H51" s="298" t="s">
        <v>560</v>
      </c>
      <c r="I51" s="303" t="s">
        <v>559</v>
      </c>
      <c r="J51" s="304"/>
      <c r="K51" s="304"/>
      <c r="L51" s="304"/>
      <c r="M51" s="304"/>
      <c r="N51" s="304"/>
      <c r="O51" s="304"/>
      <c r="P51" s="298" t="s">
        <v>560</v>
      </c>
    </row>
    <row r="52" spans="1:16" ht="16" thickBot="1" x14ac:dyDescent="0.25">
      <c r="A52" s="302" t="s">
        <v>1717</v>
      </c>
      <c r="B52" s="297"/>
      <c r="C52" s="297"/>
      <c r="D52" s="297"/>
      <c r="E52" s="297"/>
      <c r="F52" s="297"/>
      <c r="G52" s="297"/>
      <c r="H52" s="301" t="s">
        <v>1718</v>
      </c>
      <c r="I52" s="302" t="s">
        <v>1717</v>
      </c>
      <c r="J52" s="297"/>
      <c r="K52" s="297"/>
      <c r="L52" s="297"/>
      <c r="M52" s="297"/>
      <c r="N52" s="297"/>
      <c r="O52" s="297"/>
      <c r="P52" s="301" t="s">
        <v>1718</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baseColWidth="10" defaultColWidth="9.3984375" defaultRowHeight="15" x14ac:dyDescent="0.2"/>
  <cols>
    <col min="1" max="1" width="42.59765625" style="305" bestFit="1" customWidth="1" collapsed="1"/>
    <col min="2" max="3" width="33.3984375" style="305" customWidth="1" collapsed="1"/>
    <col min="4" max="4" width="42.59765625" style="305" bestFit="1" customWidth="1" collapsed="1"/>
    <col min="5" max="16384" width="9.3984375" style="305" collapsed="1"/>
  </cols>
  <sheetData>
    <row r="1" spans="1:4" ht="34.5" customHeight="1" x14ac:dyDescent="0.2">
      <c r="A1" s="699" t="s">
        <v>1806</v>
      </c>
      <c r="B1" s="700"/>
      <c r="C1" s="700"/>
      <c r="D1" s="700"/>
    </row>
    <row r="3" spans="1:4" ht="17.25" customHeight="1" x14ac:dyDescent="0.2">
      <c r="A3" s="699" t="s">
        <v>1807</v>
      </c>
      <c r="B3" s="699"/>
      <c r="C3" s="701" t="s">
        <v>1808</v>
      </c>
      <c r="D3" s="701"/>
    </row>
    <row r="4" spans="1:4" x14ac:dyDescent="0.2">
      <c r="A4" s="306"/>
      <c r="B4" s="307" t="s">
        <v>17</v>
      </c>
      <c r="C4" s="307" t="s">
        <v>103</v>
      </c>
    </row>
    <row r="5" spans="1:4" ht="16" thickBot="1" x14ac:dyDescent="0.25">
      <c r="A5" s="308" t="s">
        <v>1807</v>
      </c>
      <c r="B5" s="309"/>
      <c r="C5" s="309"/>
      <c r="D5" s="310" t="s">
        <v>1808</v>
      </c>
    </row>
    <row r="6" spans="1:4" ht="29" thickBot="1" x14ac:dyDescent="0.25">
      <c r="A6" s="311" t="s">
        <v>1809</v>
      </c>
      <c r="B6" s="309"/>
      <c r="C6" s="309"/>
      <c r="D6" s="310" t="s">
        <v>1810</v>
      </c>
    </row>
    <row r="7" spans="1:4" ht="29" thickBot="1" x14ac:dyDescent="0.25">
      <c r="A7" s="312" t="s">
        <v>1811</v>
      </c>
      <c r="B7" s="309"/>
      <c r="C7" s="309"/>
      <c r="D7" s="310" t="s">
        <v>1812</v>
      </c>
    </row>
    <row r="8" spans="1:4" ht="29" thickBot="1" x14ac:dyDescent="0.25">
      <c r="A8" s="313" t="s">
        <v>1813</v>
      </c>
      <c r="B8" s="314">
        <v>7.4300000000000005E-2</v>
      </c>
      <c r="C8" s="314">
        <v>7.6799999999999993E-2</v>
      </c>
      <c r="D8" s="315" t="s">
        <v>1814</v>
      </c>
    </row>
    <row r="9" spans="1:4" ht="29" thickBot="1" x14ac:dyDescent="0.25">
      <c r="A9" s="313" t="s">
        <v>1815</v>
      </c>
      <c r="B9" s="314">
        <v>5.2600000000000001E-2</v>
      </c>
      <c r="C9" s="314">
        <v>5.8500000000000003E-2</v>
      </c>
      <c r="D9" s="315" t="s">
        <v>1816</v>
      </c>
    </row>
    <row r="10" spans="1:4" ht="16" thickBot="1" x14ac:dyDescent="0.25">
      <c r="A10" s="312" t="s">
        <v>1817</v>
      </c>
      <c r="B10" s="309"/>
      <c r="C10" s="309"/>
      <c r="D10" s="310" t="s">
        <v>1818</v>
      </c>
    </row>
    <row r="11" spans="1:4" ht="29" thickBot="1" x14ac:dyDescent="0.25">
      <c r="A11" s="313" t="s">
        <v>1819</v>
      </c>
      <c r="B11" s="314"/>
      <c r="C11" s="314"/>
      <c r="D11" s="315" t="s">
        <v>1820</v>
      </c>
    </row>
    <row r="12" spans="1:4" ht="29" thickBot="1" x14ac:dyDescent="0.25">
      <c r="A12" s="313" t="s">
        <v>1821</v>
      </c>
      <c r="B12" s="314"/>
      <c r="C12" s="314"/>
      <c r="D12" s="315" t="s">
        <v>1822</v>
      </c>
    </row>
    <row r="13" spans="1:4" ht="29" thickBot="1" x14ac:dyDescent="0.25">
      <c r="A13" s="313" t="s">
        <v>1823</v>
      </c>
      <c r="B13" s="314"/>
      <c r="C13" s="314"/>
      <c r="D13" s="315" t="s">
        <v>1824</v>
      </c>
    </row>
    <row r="14" spans="1:4" ht="29" thickBot="1" x14ac:dyDescent="0.25">
      <c r="A14" s="311" t="s">
        <v>1825</v>
      </c>
      <c r="B14" s="309"/>
      <c r="C14" s="309"/>
      <c r="D14" s="310" t="s">
        <v>1826</v>
      </c>
    </row>
    <row r="15" spans="1:4" ht="29" thickBot="1" x14ac:dyDescent="0.25">
      <c r="A15" s="316" t="s">
        <v>1827</v>
      </c>
      <c r="B15" s="317">
        <v>32624643</v>
      </c>
      <c r="C15" s="317">
        <v>33308875</v>
      </c>
      <c r="D15" s="315" t="s">
        <v>1828</v>
      </c>
    </row>
    <row r="16" spans="1:4" ht="29" thickBot="1" x14ac:dyDescent="0.25">
      <c r="A16" s="316" t="s">
        <v>1829</v>
      </c>
      <c r="B16" s="317">
        <v>4738261</v>
      </c>
      <c r="C16" s="317">
        <v>2686810</v>
      </c>
      <c r="D16" s="315" t="s">
        <v>1830</v>
      </c>
    </row>
    <row r="17" spans="1:4" ht="29" thickBot="1" x14ac:dyDescent="0.25">
      <c r="A17" s="316" t="s">
        <v>1831</v>
      </c>
      <c r="B17" s="318">
        <v>7734297</v>
      </c>
      <c r="C17" s="318">
        <v>3564430</v>
      </c>
      <c r="D17" s="315" t="s">
        <v>1832</v>
      </c>
    </row>
    <row r="18" spans="1:4" ht="29" thickBot="1" x14ac:dyDescent="0.25">
      <c r="A18" s="316" t="s">
        <v>1833</v>
      </c>
      <c r="B18" s="317">
        <v>0</v>
      </c>
      <c r="C18" s="317">
        <v>0</v>
      </c>
      <c r="D18" s="315" t="s">
        <v>1834</v>
      </c>
    </row>
    <row r="19" spans="1:4" ht="29" thickBot="1" x14ac:dyDescent="0.25">
      <c r="A19" s="316" t="s">
        <v>1835</v>
      </c>
      <c r="B19" s="317">
        <v>0</v>
      </c>
      <c r="C19" s="317">
        <v>0</v>
      </c>
      <c r="D19" s="315" t="s">
        <v>1836</v>
      </c>
    </row>
    <row r="20" spans="1:4" ht="43" thickBot="1" x14ac:dyDescent="0.25">
      <c r="A20" s="316" t="s">
        <v>1837</v>
      </c>
      <c r="B20" s="317">
        <v>123427</v>
      </c>
      <c r="C20" s="317">
        <v>193388</v>
      </c>
      <c r="D20" s="315" t="s">
        <v>1838</v>
      </c>
    </row>
    <row r="21" spans="1:4" ht="29" thickBot="1" x14ac:dyDescent="0.25">
      <c r="A21" s="312" t="s">
        <v>1839</v>
      </c>
      <c r="B21" s="319">
        <v>29752034</v>
      </c>
      <c r="C21" s="319">
        <v>32624643</v>
      </c>
      <c r="D21" s="310" t="s">
        <v>1840</v>
      </c>
    </row>
    <row r="22" spans="1:4" ht="16" thickBot="1" x14ac:dyDescent="0.25">
      <c r="A22" s="311" t="s">
        <v>1841</v>
      </c>
      <c r="B22" s="309"/>
      <c r="C22" s="309"/>
      <c r="D22" s="310" t="s">
        <v>1842</v>
      </c>
    </row>
    <row r="23" spans="1:4" ht="16" thickBot="1" x14ac:dyDescent="0.25">
      <c r="A23" s="316" t="s">
        <v>1843</v>
      </c>
      <c r="B23" s="320">
        <v>1.7059999999999999E-8</v>
      </c>
      <c r="C23" s="320">
        <v>1.782E-8</v>
      </c>
      <c r="D23" s="315" t="s">
        <v>1843</v>
      </c>
    </row>
    <row r="24" spans="1:4" ht="16" thickBot="1" x14ac:dyDescent="0.25">
      <c r="A24" s="316" t="s">
        <v>1844</v>
      </c>
      <c r="B24" s="320">
        <v>6.7500000000000001E-9</v>
      </c>
      <c r="C24" s="320">
        <v>5.8699999999999998E-9</v>
      </c>
      <c r="D24" s="315"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baseColWidth="10" defaultColWidth="9.3984375" defaultRowHeight="15" x14ac:dyDescent="0.2"/>
  <cols>
    <col min="1" max="1" width="42.59765625" style="321" bestFit="1" customWidth="1" collapsed="1"/>
    <col min="2" max="2" width="33.3984375" style="321" customWidth="1" collapsed="1"/>
    <col min="3" max="3" width="42.59765625" style="321" bestFit="1" customWidth="1" collapsed="1"/>
    <col min="4" max="16384" width="9.3984375" style="321" collapsed="1"/>
  </cols>
  <sheetData>
    <row r="1" spans="1:3" ht="34.5" customHeight="1" x14ac:dyDescent="0.2">
      <c r="A1" s="702" t="s">
        <v>1845</v>
      </c>
      <c r="B1" s="703"/>
      <c r="C1" s="703"/>
    </row>
    <row r="3" spans="1:3" ht="17.25" customHeight="1" x14ac:dyDescent="0.2">
      <c r="A3" s="322" t="s">
        <v>1680</v>
      </c>
      <c r="B3" s="704" t="s">
        <v>1681</v>
      </c>
      <c r="C3" s="704"/>
    </row>
    <row r="4" spans="1:3" x14ac:dyDescent="0.2">
      <c r="A4" s="323"/>
      <c r="B4" s="324" t="s">
        <v>102</v>
      </c>
    </row>
    <row r="5" spans="1:3" ht="16" thickBot="1" x14ac:dyDescent="0.25">
      <c r="A5" s="325" t="s">
        <v>1680</v>
      </c>
      <c r="B5" s="326"/>
      <c r="C5" s="327" t="s">
        <v>1681</v>
      </c>
    </row>
    <row r="6" spans="1:3" ht="75" customHeight="1" thickBot="1" x14ac:dyDescent="0.25">
      <c r="A6" s="328" t="s">
        <v>1846</v>
      </c>
      <c r="B6" s="329" t="s">
        <v>2153</v>
      </c>
      <c r="C6" s="330"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baseColWidth="10" defaultColWidth="9.3984375" defaultRowHeight="15" x14ac:dyDescent="0.2"/>
  <cols>
    <col min="1" max="1" width="42.59765625" style="331" bestFit="1" customWidth="1" collapsed="1"/>
    <col min="2" max="3" width="33.3984375" style="331" customWidth="1" collapsed="1"/>
    <col min="4" max="4" width="42.59765625" style="331" bestFit="1" customWidth="1" collapsed="1"/>
    <col min="5" max="16384" width="9.3984375" style="331" collapsed="1"/>
  </cols>
  <sheetData>
    <row r="1" spans="1:4" ht="34.5" customHeight="1" x14ac:dyDescent="0.2">
      <c r="A1" s="705" t="s">
        <v>1848</v>
      </c>
      <c r="B1" s="706"/>
      <c r="C1" s="706"/>
      <c r="D1" s="706"/>
    </row>
    <row r="3" spans="1:4" ht="17.25" customHeight="1" x14ac:dyDescent="0.2">
      <c r="A3" s="705" t="s">
        <v>1849</v>
      </c>
      <c r="B3" s="705"/>
      <c r="C3" s="707" t="s">
        <v>1850</v>
      </c>
      <c r="D3" s="707"/>
    </row>
    <row r="4" spans="1:4" x14ac:dyDescent="0.2">
      <c r="A4" s="332"/>
      <c r="B4" s="333" t="s">
        <v>102</v>
      </c>
      <c r="C4" s="333" t="s">
        <v>104</v>
      </c>
    </row>
    <row r="5" spans="1:4" ht="16" thickBot="1" x14ac:dyDescent="0.25">
      <c r="A5" s="334" t="s">
        <v>1849</v>
      </c>
      <c r="B5" s="335"/>
      <c r="C5" s="335"/>
      <c r="D5" s="336" t="s">
        <v>1850</v>
      </c>
    </row>
    <row r="6" spans="1:4" ht="16" thickBot="1" x14ac:dyDescent="0.25">
      <c r="A6" s="337" t="s">
        <v>1817</v>
      </c>
      <c r="B6" s="335"/>
      <c r="C6" s="335"/>
      <c r="D6" s="336" t="s">
        <v>1818</v>
      </c>
    </row>
    <row r="7" spans="1:4" ht="29" thickBot="1" x14ac:dyDescent="0.25">
      <c r="A7" s="338" t="s">
        <v>1819</v>
      </c>
      <c r="B7" s="339"/>
      <c r="C7" s="339"/>
      <c r="D7" s="340" t="s">
        <v>1820</v>
      </c>
    </row>
    <row r="8" spans="1:4" ht="29" thickBot="1" x14ac:dyDescent="0.25">
      <c r="A8" s="338" t="s">
        <v>1821</v>
      </c>
      <c r="B8" s="339"/>
      <c r="C8" s="339"/>
      <c r="D8" s="340" t="s">
        <v>1822</v>
      </c>
    </row>
    <row r="9" spans="1:4" ht="29" thickBot="1" x14ac:dyDescent="0.25">
      <c r="A9" s="338" t="s">
        <v>1823</v>
      </c>
      <c r="B9" s="339"/>
      <c r="C9" s="339"/>
      <c r="D9" s="340" t="s">
        <v>1824</v>
      </c>
    </row>
    <row r="10" spans="1:4" ht="29" thickBot="1" x14ac:dyDescent="0.25">
      <c r="A10" s="337" t="s">
        <v>1825</v>
      </c>
      <c r="B10" s="335"/>
      <c r="C10" s="335"/>
      <c r="D10" s="336" t="s">
        <v>1851</v>
      </c>
    </row>
    <row r="11" spans="1:4" ht="43" thickBot="1" x14ac:dyDescent="0.25">
      <c r="A11" s="338" t="s">
        <v>1852</v>
      </c>
      <c r="B11" s="341"/>
      <c r="C11" s="341"/>
      <c r="D11" s="340" t="s">
        <v>1853</v>
      </c>
    </row>
    <row r="12" spans="1:4" ht="29" thickBot="1" x14ac:dyDescent="0.25">
      <c r="A12" s="338" t="s">
        <v>1829</v>
      </c>
      <c r="B12" s="341"/>
      <c r="C12" s="341"/>
      <c r="D12" s="340" t="s">
        <v>1854</v>
      </c>
    </row>
    <row r="13" spans="1:4" ht="29" thickBot="1" x14ac:dyDescent="0.25">
      <c r="A13" s="338" t="s">
        <v>1831</v>
      </c>
      <c r="B13" s="342"/>
      <c r="C13" s="342"/>
      <c r="D13" s="340" t="s">
        <v>1855</v>
      </c>
    </row>
    <row r="14" spans="1:4" ht="29" thickBot="1" x14ac:dyDescent="0.25">
      <c r="A14" s="338" t="s">
        <v>1833</v>
      </c>
      <c r="B14" s="341"/>
      <c r="C14" s="341"/>
      <c r="D14" s="340" t="s">
        <v>1856</v>
      </c>
    </row>
    <row r="15" spans="1:4" ht="29" thickBot="1" x14ac:dyDescent="0.25">
      <c r="A15" s="338" t="s">
        <v>1835</v>
      </c>
      <c r="B15" s="341"/>
      <c r="C15" s="341"/>
      <c r="D15" s="340" t="s">
        <v>1857</v>
      </c>
    </row>
    <row r="16" spans="1:4" ht="43" thickBot="1" x14ac:dyDescent="0.25">
      <c r="A16" s="338" t="s">
        <v>1837</v>
      </c>
      <c r="B16" s="341"/>
      <c r="C16" s="341"/>
      <c r="D16" s="340" t="s">
        <v>1858</v>
      </c>
    </row>
    <row r="17" spans="1:4" ht="43" thickBot="1" x14ac:dyDescent="0.25">
      <c r="A17" s="343" t="s">
        <v>1859</v>
      </c>
      <c r="B17" s="344"/>
      <c r="C17" s="344"/>
      <c r="D17" s="336" t="s">
        <v>1860</v>
      </c>
    </row>
    <row r="18" spans="1:4" ht="16" thickBot="1" x14ac:dyDescent="0.25">
      <c r="A18" s="337" t="s">
        <v>1841</v>
      </c>
      <c r="B18" s="335"/>
      <c r="C18" s="335"/>
      <c r="D18" s="336" t="s">
        <v>1842</v>
      </c>
    </row>
    <row r="19" spans="1:4" ht="16" thickBot="1" x14ac:dyDescent="0.25">
      <c r="A19" s="338" t="s">
        <v>1843</v>
      </c>
      <c r="B19" s="345"/>
      <c r="C19" s="345"/>
      <c r="D19" s="340" t="s">
        <v>1843</v>
      </c>
    </row>
    <row r="20" spans="1:4" ht="16" thickBot="1" x14ac:dyDescent="0.25">
      <c r="A20" s="338" t="s">
        <v>1844</v>
      </c>
      <c r="B20" s="345"/>
      <c r="C20" s="345"/>
      <c r="D20" s="340"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baseColWidth="10" defaultColWidth="9.3984375" defaultRowHeight="15" x14ac:dyDescent="0.2"/>
  <cols>
    <col min="1" max="1" width="42.59765625" style="346" bestFit="1" customWidth="1" collapsed="1"/>
    <col min="2" max="2" width="33.3984375" style="346" customWidth="1" collapsed="1"/>
    <col min="3" max="3" width="42.59765625" style="346" bestFit="1" customWidth="1" collapsed="1"/>
    <col min="4" max="16384" width="9.3984375" style="346" collapsed="1"/>
  </cols>
  <sheetData>
    <row r="1" spans="1:3" ht="34.5" customHeight="1" x14ac:dyDescent="0.2">
      <c r="A1" s="708" t="s">
        <v>1861</v>
      </c>
      <c r="B1" s="709"/>
      <c r="C1" s="709"/>
    </row>
    <row r="3" spans="1:3" ht="17.25" customHeight="1" x14ac:dyDescent="0.2">
      <c r="A3" s="347" t="s">
        <v>1680</v>
      </c>
      <c r="B3" s="710" t="s">
        <v>1681</v>
      </c>
      <c r="C3" s="710"/>
    </row>
    <row r="4" spans="1:3" x14ac:dyDescent="0.2">
      <c r="A4" s="348"/>
      <c r="B4" s="349" t="s">
        <v>102</v>
      </c>
    </row>
    <row r="5" spans="1:3" ht="16" thickBot="1" x14ac:dyDescent="0.25">
      <c r="A5" s="350" t="s">
        <v>1680</v>
      </c>
      <c r="B5" s="351"/>
      <c r="C5" s="352" t="s">
        <v>1681</v>
      </c>
    </row>
    <row r="6" spans="1:3" ht="75" customHeight="1" thickBot="1" x14ac:dyDescent="0.25">
      <c r="A6" s="353" t="s">
        <v>1862</v>
      </c>
      <c r="B6" s="354"/>
      <c r="C6" s="355"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baseColWidth="10" defaultColWidth="9.3984375" defaultRowHeight="15" x14ac:dyDescent="0.2"/>
  <cols>
    <col min="1" max="1" width="14" style="357" bestFit="1" customWidth="1" collapsed="1"/>
    <col min="2" max="2" width="26" style="357" bestFit="1" customWidth="1" collapsed="1"/>
    <col min="3" max="3" width="34.3984375" style="357" bestFit="1" customWidth="1" collapsed="1"/>
    <col min="4" max="4" width="30" style="357" customWidth="1" collapsed="1"/>
    <col min="5" max="5" width="29.19921875" style="357" bestFit="1" customWidth="1" collapsed="1"/>
    <col min="6" max="6" width="22.796875" style="357" bestFit="1" customWidth="1" collapsed="1"/>
    <col min="7" max="7" width="26.19921875" style="357" bestFit="1" customWidth="1" collapsed="1"/>
    <col min="8" max="8" width="14" style="357" bestFit="1" customWidth="1" collapsed="1"/>
    <col min="9" max="9" width="26" style="357" bestFit="1" customWidth="1" collapsed="1"/>
    <col min="10" max="10" width="34.3984375" style="357" bestFit="1" customWidth="1" collapsed="1"/>
    <col min="11" max="11" width="30" style="357" customWidth="1" collapsed="1"/>
    <col min="12" max="12" width="29.19921875" style="357" bestFit="1" customWidth="1" collapsed="1"/>
    <col min="13" max="13" width="22.796875" style="357" bestFit="1" customWidth="1" collapsed="1"/>
    <col min="14" max="14" width="26.19921875" style="357" bestFit="1" customWidth="1" collapsed="1"/>
    <col min="15" max="16384" width="9.3984375" style="357" collapsed="1"/>
  </cols>
  <sheetData>
    <row r="1" spans="1:14" ht="18" x14ac:dyDescent="0.2">
      <c r="A1" s="356" t="s">
        <v>1864</v>
      </c>
    </row>
    <row r="3" spans="1:14" ht="17.25" customHeight="1" x14ac:dyDescent="0.2">
      <c r="A3" s="711" t="s">
        <v>17</v>
      </c>
      <c r="B3" s="711"/>
      <c r="C3" s="711"/>
      <c r="D3" s="711"/>
      <c r="E3" s="711"/>
      <c r="F3" s="711"/>
      <c r="G3" s="711"/>
      <c r="H3" s="712" t="s">
        <v>104</v>
      </c>
      <c r="I3" s="712"/>
      <c r="J3" s="712"/>
      <c r="K3" s="712"/>
      <c r="L3" s="712"/>
      <c r="M3" s="712"/>
      <c r="N3" s="712"/>
    </row>
    <row r="4" spans="1:14" ht="17.25" customHeight="1" x14ac:dyDescent="0.2">
      <c r="A4" s="711" t="s">
        <v>1865</v>
      </c>
      <c r="B4" s="711"/>
      <c r="C4" s="711"/>
      <c r="D4" s="712" t="s">
        <v>1866</v>
      </c>
      <c r="E4" s="712"/>
      <c r="F4" s="712"/>
      <c r="G4" s="712"/>
      <c r="H4" s="711" t="s">
        <v>1865</v>
      </c>
      <c r="I4" s="711"/>
      <c r="J4" s="711"/>
      <c r="K4" s="712" t="s">
        <v>1866</v>
      </c>
      <c r="L4" s="712"/>
      <c r="M4" s="712"/>
      <c r="N4" s="712"/>
    </row>
    <row r="5" spans="1:14" ht="16" thickBot="1" x14ac:dyDescent="0.25">
      <c r="A5" s="713" t="s">
        <v>656</v>
      </c>
      <c r="B5" s="715" t="s">
        <v>1690</v>
      </c>
      <c r="C5" s="358" t="s">
        <v>1691</v>
      </c>
      <c r="D5" s="359"/>
      <c r="E5" s="360" t="s">
        <v>1691</v>
      </c>
      <c r="F5" s="717" t="s">
        <v>1692</v>
      </c>
      <c r="G5" s="717" t="s">
        <v>657</v>
      </c>
      <c r="H5" s="713" t="s">
        <v>656</v>
      </c>
      <c r="I5" s="715" t="s">
        <v>1690</v>
      </c>
      <c r="J5" s="358" t="s">
        <v>1691</v>
      </c>
      <c r="K5" s="359">
        <v>0</v>
      </c>
      <c r="L5" s="360" t="s">
        <v>1691</v>
      </c>
      <c r="M5" s="717" t="s">
        <v>1692</v>
      </c>
      <c r="N5" s="717" t="s">
        <v>657</v>
      </c>
    </row>
    <row r="6" spans="1:14" ht="16" thickBot="1" x14ac:dyDescent="0.25">
      <c r="A6" s="713"/>
      <c r="B6" s="715"/>
      <c r="C6" s="358" t="s">
        <v>1694</v>
      </c>
      <c r="D6" s="359"/>
      <c r="E6" s="360" t="s">
        <v>1695</v>
      </c>
      <c r="F6" s="717"/>
      <c r="G6" s="717"/>
      <c r="H6" s="713"/>
      <c r="I6" s="715"/>
      <c r="J6" s="358" t="s">
        <v>1694</v>
      </c>
      <c r="K6" s="359">
        <v>0</v>
      </c>
      <c r="L6" s="360" t="s">
        <v>1695</v>
      </c>
      <c r="M6" s="717"/>
      <c r="N6" s="717"/>
    </row>
    <row r="7" spans="1:14" ht="16" thickBot="1" x14ac:dyDescent="0.25">
      <c r="A7" s="713"/>
      <c r="B7" s="716"/>
      <c r="C7" s="361" t="s">
        <v>1696</v>
      </c>
      <c r="D7" s="362"/>
      <c r="E7" s="363" t="s">
        <v>1697</v>
      </c>
      <c r="F7" s="718"/>
      <c r="G7" s="717"/>
      <c r="H7" s="713"/>
      <c r="I7" s="716"/>
      <c r="J7" s="361" t="s">
        <v>1696</v>
      </c>
      <c r="K7" s="362">
        <v>0</v>
      </c>
      <c r="L7" s="363" t="s">
        <v>1697</v>
      </c>
      <c r="M7" s="718"/>
      <c r="N7" s="717"/>
    </row>
    <row r="8" spans="1:14" ht="16" thickBot="1" x14ac:dyDescent="0.25">
      <c r="A8" s="713"/>
      <c r="B8" s="719" t="s">
        <v>1698</v>
      </c>
      <c r="C8" s="358" t="s">
        <v>1691</v>
      </c>
      <c r="D8" s="359">
        <v>385281724</v>
      </c>
      <c r="E8" s="360" t="s">
        <v>1691</v>
      </c>
      <c r="F8" s="720" t="s">
        <v>1699</v>
      </c>
      <c r="G8" s="717"/>
      <c r="H8" s="713"/>
      <c r="I8" s="719" t="s">
        <v>1698</v>
      </c>
      <c r="J8" s="358" t="s">
        <v>1691</v>
      </c>
      <c r="K8" s="359">
        <v>318448085</v>
      </c>
      <c r="L8" s="360" t="s">
        <v>1691</v>
      </c>
      <c r="M8" s="720" t="s">
        <v>1699</v>
      </c>
      <c r="N8" s="717"/>
    </row>
    <row r="9" spans="1:14" ht="16" thickBot="1" x14ac:dyDescent="0.25">
      <c r="A9" s="713"/>
      <c r="B9" s="715"/>
      <c r="C9" s="358" t="s">
        <v>1694</v>
      </c>
      <c r="D9" s="359">
        <v>45728791</v>
      </c>
      <c r="E9" s="360" t="s">
        <v>1695</v>
      </c>
      <c r="F9" s="717"/>
      <c r="G9" s="717"/>
      <c r="H9" s="713"/>
      <c r="I9" s="715"/>
      <c r="J9" s="358" t="s">
        <v>1694</v>
      </c>
      <c r="K9" s="359">
        <v>40987264</v>
      </c>
      <c r="L9" s="360" t="s">
        <v>1695</v>
      </c>
      <c r="M9" s="717"/>
      <c r="N9" s="717"/>
    </row>
    <row r="10" spans="1:14" ht="16" thickBot="1" x14ac:dyDescent="0.25">
      <c r="A10" s="714"/>
      <c r="B10" s="716"/>
      <c r="C10" s="361" t="s">
        <v>1696</v>
      </c>
      <c r="D10" s="362">
        <v>431010515</v>
      </c>
      <c r="E10" s="363" t="s">
        <v>1697</v>
      </c>
      <c r="F10" s="718"/>
      <c r="G10" s="718"/>
      <c r="H10" s="714"/>
      <c r="I10" s="716"/>
      <c r="J10" s="361" t="s">
        <v>1696</v>
      </c>
      <c r="K10" s="362">
        <v>359435349</v>
      </c>
      <c r="L10" s="363" t="s">
        <v>1697</v>
      </c>
      <c r="M10" s="718"/>
      <c r="N10" s="718"/>
    </row>
    <row r="11" spans="1:14" ht="16" thickBot="1" x14ac:dyDescent="0.25">
      <c r="A11" s="721" t="s">
        <v>662</v>
      </c>
      <c r="B11" s="719" t="s">
        <v>1690</v>
      </c>
      <c r="C11" s="358" t="s">
        <v>1691</v>
      </c>
      <c r="D11" s="359"/>
      <c r="E11" s="360" t="s">
        <v>1691</v>
      </c>
      <c r="F11" s="720" t="s">
        <v>1692</v>
      </c>
      <c r="G11" s="720" t="s">
        <v>663</v>
      </c>
      <c r="H11" s="721" t="s">
        <v>662</v>
      </c>
      <c r="I11" s="719" t="s">
        <v>1690</v>
      </c>
      <c r="J11" s="358" t="s">
        <v>1691</v>
      </c>
      <c r="K11" s="359"/>
      <c r="L11" s="360" t="s">
        <v>1691</v>
      </c>
      <c r="M11" s="720" t="s">
        <v>1692</v>
      </c>
      <c r="N11" s="720" t="s">
        <v>663</v>
      </c>
    </row>
    <row r="12" spans="1:14" ht="16" thickBot="1" x14ac:dyDescent="0.25">
      <c r="A12" s="713"/>
      <c r="B12" s="715"/>
      <c r="C12" s="358" t="s">
        <v>1694</v>
      </c>
      <c r="D12" s="359"/>
      <c r="E12" s="360" t="s">
        <v>1695</v>
      </c>
      <c r="F12" s="717"/>
      <c r="G12" s="717"/>
      <c r="H12" s="713"/>
      <c r="I12" s="715"/>
      <c r="J12" s="358" t="s">
        <v>1694</v>
      </c>
      <c r="K12" s="359"/>
      <c r="L12" s="360" t="s">
        <v>1695</v>
      </c>
      <c r="M12" s="717"/>
      <c r="N12" s="717"/>
    </row>
    <row r="13" spans="1:14" ht="16" thickBot="1" x14ac:dyDescent="0.25">
      <c r="A13" s="713"/>
      <c r="B13" s="716"/>
      <c r="C13" s="361" t="s">
        <v>1696</v>
      </c>
      <c r="D13" s="362"/>
      <c r="E13" s="363" t="s">
        <v>1697</v>
      </c>
      <c r="F13" s="718"/>
      <c r="G13" s="717"/>
      <c r="H13" s="713"/>
      <c r="I13" s="716"/>
      <c r="J13" s="361" t="s">
        <v>1696</v>
      </c>
      <c r="K13" s="362"/>
      <c r="L13" s="363" t="s">
        <v>1697</v>
      </c>
      <c r="M13" s="718"/>
      <c r="N13" s="717"/>
    </row>
    <row r="14" spans="1:14" ht="16" thickBot="1" x14ac:dyDescent="0.25">
      <c r="A14" s="713"/>
      <c r="B14" s="719" t="s">
        <v>1698</v>
      </c>
      <c r="C14" s="358" t="s">
        <v>1691</v>
      </c>
      <c r="D14" s="359"/>
      <c r="E14" s="360" t="s">
        <v>1691</v>
      </c>
      <c r="F14" s="720" t="s">
        <v>1699</v>
      </c>
      <c r="G14" s="717"/>
      <c r="H14" s="713"/>
      <c r="I14" s="719" t="s">
        <v>1698</v>
      </c>
      <c r="J14" s="358" t="s">
        <v>1691</v>
      </c>
      <c r="K14" s="359"/>
      <c r="L14" s="360" t="s">
        <v>1691</v>
      </c>
      <c r="M14" s="720" t="s">
        <v>1699</v>
      </c>
      <c r="N14" s="717"/>
    </row>
    <row r="15" spans="1:14" ht="16" thickBot="1" x14ac:dyDescent="0.25">
      <c r="A15" s="713"/>
      <c r="B15" s="715"/>
      <c r="C15" s="358" t="s">
        <v>1694</v>
      </c>
      <c r="D15" s="359"/>
      <c r="E15" s="360" t="s">
        <v>1695</v>
      </c>
      <c r="F15" s="717"/>
      <c r="G15" s="717"/>
      <c r="H15" s="713"/>
      <c r="I15" s="715"/>
      <c r="J15" s="358" t="s">
        <v>1694</v>
      </c>
      <c r="K15" s="359"/>
      <c r="L15" s="360" t="s">
        <v>1695</v>
      </c>
      <c r="M15" s="717"/>
      <c r="N15" s="717"/>
    </row>
    <row r="16" spans="1:14" ht="16" thickBot="1" x14ac:dyDescent="0.25">
      <c r="A16" s="714"/>
      <c r="B16" s="716"/>
      <c r="C16" s="361" t="s">
        <v>1696</v>
      </c>
      <c r="D16" s="362"/>
      <c r="E16" s="363" t="s">
        <v>1697</v>
      </c>
      <c r="F16" s="718"/>
      <c r="G16" s="718"/>
      <c r="H16" s="714"/>
      <c r="I16" s="716"/>
      <c r="J16" s="361" t="s">
        <v>1696</v>
      </c>
      <c r="K16" s="362"/>
      <c r="L16" s="363" t="s">
        <v>1697</v>
      </c>
      <c r="M16" s="718"/>
      <c r="N16" s="718"/>
    </row>
    <row r="17" spans="1:14" ht="17.25" customHeight="1" x14ac:dyDescent="0.2">
      <c r="A17" s="722" t="s">
        <v>17</v>
      </c>
      <c r="B17" s="722"/>
      <c r="C17" s="722"/>
      <c r="D17" s="722"/>
      <c r="E17" s="722"/>
      <c r="F17" s="722"/>
      <c r="G17" s="722"/>
      <c r="H17" s="723" t="s">
        <v>104</v>
      </c>
      <c r="I17" s="723"/>
      <c r="J17" s="723"/>
      <c r="K17" s="723"/>
      <c r="L17" s="723"/>
      <c r="M17" s="723"/>
      <c r="N17" s="723"/>
    </row>
    <row r="18" spans="1:14" ht="17.25" customHeight="1" x14ac:dyDescent="0.2">
      <c r="A18" s="711" t="s">
        <v>1865</v>
      </c>
      <c r="B18" s="711"/>
      <c r="C18" s="711"/>
      <c r="D18" s="712" t="s">
        <v>1866</v>
      </c>
      <c r="E18" s="712"/>
      <c r="F18" s="712"/>
      <c r="G18" s="712"/>
      <c r="H18" s="711" t="s">
        <v>1865</v>
      </c>
      <c r="I18" s="711"/>
      <c r="J18" s="711"/>
      <c r="K18" s="712" t="s">
        <v>1866</v>
      </c>
      <c r="L18" s="712"/>
      <c r="M18" s="712"/>
      <c r="N18" s="712"/>
    </row>
    <row r="19" spans="1:14" ht="16" thickBot="1" x14ac:dyDescent="0.25">
      <c r="A19" s="364" t="s">
        <v>656</v>
      </c>
      <c r="B19" s="358" t="s">
        <v>1702</v>
      </c>
      <c r="C19" s="361" t="s">
        <v>1696</v>
      </c>
      <c r="D19" s="362">
        <v>431010515</v>
      </c>
      <c r="E19" s="363" t="s">
        <v>1697</v>
      </c>
      <c r="F19" s="360" t="s">
        <v>1703</v>
      </c>
      <c r="G19" s="360" t="s">
        <v>657</v>
      </c>
      <c r="H19" s="364" t="s">
        <v>656</v>
      </c>
      <c r="I19" s="358" t="s">
        <v>1702</v>
      </c>
      <c r="J19" s="361" t="s">
        <v>1696</v>
      </c>
      <c r="K19" s="362">
        <v>359435349</v>
      </c>
      <c r="L19" s="363" t="s">
        <v>1697</v>
      </c>
      <c r="M19" s="360" t="s">
        <v>1703</v>
      </c>
      <c r="N19" s="360" t="s">
        <v>657</v>
      </c>
    </row>
    <row r="20" spans="1:14" ht="16" thickBot="1" x14ac:dyDescent="0.25">
      <c r="A20" s="364" t="s">
        <v>662</v>
      </c>
      <c r="B20" s="358" t="s">
        <v>1702</v>
      </c>
      <c r="C20" s="361" t="s">
        <v>1696</v>
      </c>
      <c r="D20" s="362"/>
      <c r="E20" s="363" t="s">
        <v>1697</v>
      </c>
      <c r="F20" s="360" t="s">
        <v>1703</v>
      </c>
      <c r="G20" s="360" t="s">
        <v>663</v>
      </c>
      <c r="H20" s="364" t="s">
        <v>662</v>
      </c>
      <c r="I20" s="358" t="s">
        <v>1702</v>
      </c>
      <c r="J20" s="361" t="s">
        <v>1696</v>
      </c>
      <c r="K20" s="362"/>
      <c r="L20" s="363" t="s">
        <v>1697</v>
      </c>
      <c r="M20" s="360" t="s">
        <v>1703</v>
      </c>
      <c r="N20" s="360" t="s">
        <v>663</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baseColWidth="10" defaultColWidth="9.3984375" defaultRowHeight="15" x14ac:dyDescent="0.2"/>
  <cols>
    <col min="1" max="1" width="19.3984375" style="366" bestFit="1" customWidth="1" collapsed="1"/>
    <col min="2" max="2" width="26" style="366" bestFit="1" customWidth="1" collapsed="1"/>
    <col min="3" max="3" width="34.3984375" style="366" bestFit="1" customWidth="1" collapsed="1"/>
    <col min="4" max="4" width="30" style="366" customWidth="1" collapsed="1"/>
    <col min="5" max="5" width="29.19921875" style="366" bestFit="1" customWidth="1" collapsed="1"/>
    <col min="6" max="6" width="22.796875" style="366" bestFit="1" customWidth="1" collapsed="1"/>
    <col min="7" max="7" width="25.59765625" style="366" bestFit="1" customWidth="1" collapsed="1"/>
    <col min="8" max="8" width="19.3984375" style="366" bestFit="1" customWidth="1" collapsed="1"/>
    <col min="9" max="9" width="26" style="366" bestFit="1" customWidth="1" collapsed="1"/>
    <col min="10" max="10" width="34.3984375" style="366" bestFit="1" customWidth="1" collapsed="1"/>
    <col min="11" max="11" width="30" style="366" customWidth="1" collapsed="1"/>
    <col min="12" max="12" width="29.19921875" style="366" bestFit="1" customWidth="1" collapsed="1"/>
    <col min="13" max="13" width="22.796875" style="366" bestFit="1" customWidth="1" collapsed="1"/>
    <col min="14" max="14" width="25.59765625" style="366" bestFit="1" customWidth="1" collapsed="1"/>
    <col min="15" max="16384" width="9.3984375" style="366" collapsed="1"/>
  </cols>
  <sheetData>
    <row r="1" spans="1:14" ht="18" x14ac:dyDescent="0.2">
      <c r="A1" s="365" t="s">
        <v>1867</v>
      </c>
    </row>
    <row r="3" spans="1:14" ht="17.25" customHeight="1" x14ac:dyDescent="0.2">
      <c r="A3" s="726" t="s">
        <v>17</v>
      </c>
      <c r="B3" s="726"/>
      <c r="C3" s="726"/>
      <c r="D3" s="726"/>
      <c r="E3" s="726"/>
      <c r="F3" s="726"/>
      <c r="G3" s="726"/>
      <c r="H3" s="727" t="s">
        <v>104</v>
      </c>
      <c r="I3" s="727"/>
      <c r="J3" s="727"/>
      <c r="K3" s="727"/>
      <c r="L3" s="727"/>
      <c r="M3" s="727"/>
      <c r="N3" s="727"/>
    </row>
    <row r="4" spans="1:14" ht="17.25" customHeight="1" x14ac:dyDescent="0.2">
      <c r="A4" s="726" t="s">
        <v>1868</v>
      </c>
      <c r="B4" s="726"/>
      <c r="C4" s="726"/>
      <c r="D4" s="727" t="s">
        <v>1869</v>
      </c>
      <c r="E4" s="727"/>
      <c r="F4" s="727"/>
      <c r="G4" s="727"/>
      <c r="H4" s="726" t="s">
        <v>1868</v>
      </c>
      <c r="I4" s="726"/>
      <c r="J4" s="726"/>
      <c r="K4" s="727" t="s">
        <v>1869</v>
      </c>
      <c r="L4" s="727"/>
      <c r="M4" s="727"/>
      <c r="N4" s="727"/>
    </row>
    <row r="5" spans="1:14" ht="16" thickBot="1" x14ac:dyDescent="0.25">
      <c r="A5" s="735" t="s">
        <v>668</v>
      </c>
      <c r="B5" s="732" t="s">
        <v>1690</v>
      </c>
      <c r="C5" s="367" t="s">
        <v>1691</v>
      </c>
      <c r="D5" s="368">
        <v>0</v>
      </c>
      <c r="E5" s="369" t="s">
        <v>1691</v>
      </c>
      <c r="F5" s="729" t="s">
        <v>1692</v>
      </c>
      <c r="G5" s="729" t="s">
        <v>1870</v>
      </c>
      <c r="H5" s="735" t="s">
        <v>668</v>
      </c>
      <c r="I5" s="732" t="s">
        <v>1690</v>
      </c>
      <c r="J5" s="367" t="s">
        <v>1691</v>
      </c>
      <c r="K5" s="368">
        <v>0</v>
      </c>
      <c r="L5" s="369" t="s">
        <v>1691</v>
      </c>
      <c r="M5" s="729" t="s">
        <v>1692</v>
      </c>
      <c r="N5" s="729" t="s">
        <v>1870</v>
      </c>
    </row>
    <row r="6" spans="1:14" ht="16" thickBot="1" x14ac:dyDescent="0.25">
      <c r="A6" s="735"/>
      <c r="B6" s="732"/>
      <c r="C6" s="367" t="s">
        <v>1694</v>
      </c>
      <c r="D6" s="368">
        <v>0</v>
      </c>
      <c r="E6" s="369" t="s">
        <v>1695</v>
      </c>
      <c r="F6" s="729"/>
      <c r="G6" s="729"/>
      <c r="H6" s="735"/>
      <c r="I6" s="732"/>
      <c r="J6" s="367" t="s">
        <v>1694</v>
      </c>
      <c r="K6" s="368">
        <v>0</v>
      </c>
      <c r="L6" s="369" t="s">
        <v>1695</v>
      </c>
      <c r="M6" s="729"/>
      <c r="N6" s="729"/>
    </row>
    <row r="7" spans="1:14" ht="16" thickBot="1" x14ac:dyDescent="0.25">
      <c r="A7" s="735"/>
      <c r="B7" s="733"/>
      <c r="C7" s="370" t="s">
        <v>1696</v>
      </c>
      <c r="D7" s="371">
        <v>0</v>
      </c>
      <c r="E7" s="372" t="s">
        <v>1697</v>
      </c>
      <c r="F7" s="730"/>
      <c r="G7" s="729"/>
      <c r="H7" s="735"/>
      <c r="I7" s="733"/>
      <c r="J7" s="370" t="s">
        <v>1696</v>
      </c>
      <c r="K7" s="371">
        <v>0</v>
      </c>
      <c r="L7" s="372" t="s">
        <v>1697</v>
      </c>
      <c r="M7" s="730"/>
      <c r="N7" s="729"/>
    </row>
    <row r="8" spans="1:14" ht="16" thickBot="1" x14ac:dyDescent="0.25">
      <c r="A8" s="735"/>
      <c r="B8" s="731" t="s">
        <v>1698</v>
      </c>
      <c r="C8" s="367" t="s">
        <v>1691</v>
      </c>
      <c r="D8" s="368">
        <v>585468736</v>
      </c>
      <c r="E8" s="369" t="s">
        <v>1691</v>
      </c>
      <c r="F8" s="728" t="s">
        <v>1699</v>
      </c>
      <c r="G8" s="729"/>
      <c r="H8" s="735"/>
      <c r="I8" s="731" t="s">
        <v>1698</v>
      </c>
      <c r="J8" s="367" t="s">
        <v>1691</v>
      </c>
      <c r="K8" s="368">
        <v>540349411</v>
      </c>
      <c r="L8" s="369" t="s">
        <v>1691</v>
      </c>
      <c r="M8" s="728" t="s">
        <v>1699</v>
      </c>
      <c r="N8" s="729"/>
    </row>
    <row r="9" spans="1:14" ht="16" thickBot="1" x14ac:dyDescent="0.25">
      <c r="A9" s="735"/>
      <c r="B9" s="732"/>
      <c r="C9" s="367" t="s">
        <v>1694</v>
      </c>
      <c r="D9" s="368">
        <v>22650819</v>
      </c>
      <c r="E9" s="369" t="s">
        <v>1695</v>
      </c>
      <c r="F9" s="729"/>
      <c r="G9" s="729"/>
      <c r="H9" s="735"/>
      <c r="I9" s="732"/>
      <c r="J9" s="367" t="s">
        <v>1694</v>
      </c>
      <c r="K9" s="368">
        <v>19272715</v>
      </c>
      <c r="L9" s="369" t="s">
        <v>1695</v>
      </c>
      <c r="M9" s="729"/>
      <c r="N9" s="729"/>
    </row>
    <row r="10" spans="1:14" ht="16" thickBot="1" x14ac:dyDescent="0.25">
      <c r="A10" s="736"/>
      <c r="B10" s="733"/>
      <c r="C10" s="370" t="s">
        <v>1696</v>
      </c>
      <c r="D10" s="371">
        <v>608119555</v>
      </c>
      <c r="E10" s="372" t="s">
        <v>1697</v>
      </c>
      <c r="F10" s="730"/>
      <c r="G10" s="730"/>
      <c r="H10" s="736"/>
      <c r="I10" s="733"/>
      <c r="J10" s="370" t="s">
        <v>1696</v>
      </c>
      <c r="K10" s="371">
        <v>559622126</v>
      </c>
      <c r="L10" s="372" t="s">
        <v>1697</v>
      </c>
      <c r="M10" s="730"/>
      <c r="N10" s="730"/>
    </row>
    <row r="11" spans="1:14" ht="16" thickBot="1" x14ac:dyDescent="0.25">
      <c r="A11" s="734" t="s">
        <v>674</v>
      </c>
      <c r="B11" s="731" t="s">
        <v>1690</v>
      </c>
      <c r="C11" s="367" t="s">
        <v>1691</v>
      </c>
      <c r="D11" s="368"/>
      <c r="E11" s="369" t="s">
        <v>1691</v>
      </c>
      <c r="F11" s="728" t="s">
        <v>1692</v>
      </c>
      <c r="G11" s="728" t="s">
        <v>1871</v>
      </c>
      <c r="H11" s="734" t="s">
        <v>674</v>
      </c>
      <c r="I11" s="731" t="s">
        <v>1690</v>
      </c>
      <c r="J11" s="367" t="s">
        <v>1691</v>
      </c>
      <c r="K11" s="368"/>
      <c r="L11" s="369" t="s">
        <v>1691</v>
      </c>
      <c r="M11" s="728" t="s">
        <v>1692</v>
      </c>
      <c r="N11" s="728" t="s">
        <v>1871</v>
      </c>
    </row>
    <row r="12" spans="1:14" ht="16" thickBot="1" x14ac:dyDescent="0.25">
      <c r="A12" s="735"/>
      <c r="B12" s="732"/>
      <c r="C12" s="367" t="s">
        <v>1694</v>
      </c>
      <c r="D12" s="368"/>
      <c r="E12" s="369" t="s">
        <v>1695</v>
      </c>
      <c r="F12" s="729"/>
      <c r="G12" s="729"/>
      <c r="H12" s="735"/>
      <c r="I12" s="732"/>
      <c r="J12" s="367" t="s">
        <v>1694</v>
      </c>
      <c r="K12" s="368"/>
      <c r="L12" s="369" t="s">
        <v>1695</v>
      </c>
      <c r="M12" s="729"/>
      <c r="N12" s="729"/>
    </row>
    <row r="13" spans="1:14" ht="16" thickBot="1" x14ac:dyDescent="0.25">
      <c r="A13" s="735"/>
      <c r="B13" s="733"/>
      <c r="C13" s="370" t="s">
        <v>1696</v>
      </c>
      <c r="D13" s="371"/>
      <c r="E13" s="372" t="s">
        <v>1697</v>
      </c>
      <c r="F13" s="730"/>
      <c r="G13" s="729"/>
      <c r="H13" s="735"/>
      <c r="I13" s="733"/>
      <c r="J13" s="370" t="s">
        <v>1696</v>
      </c>
      <c r="K13" s="371"/>
      <c r="L13" s="372" t="s">
        <v>1697</v>
      </c>
      <c r="M13" s="730"/>
      <c r="N13" s="729"/>
    </row>
    <row r="14" spans="1:14" ht="16" thickBot="1" x14ac:dyDescent="0.25">
      <c r="A14" s="735"/>
      <c r="B14" s="731" t="s">
        <v>1698</v>
      </c>
      <c r="C14" s="367" t="s">
        <v>1691</v>
      </c>
      <c r="D14" s="368"/>
      <c r="E14" s="369" t="s">
        <v>1691</v>
      </c>
      <c r="F14" s="728" t="s">
        <v>1699</v>
      </c>
      <c r="G14" s="729"/>
      <c r="H14" s="735"/>
      <c r="I14" s="731" t="s">
        <v>1698</v>
      </c>
      <c r="J14" s="367" t="s">
        <v>1691</v>
      </c>
      <c r="K14" s="368"/>
      <c r="L14" s="369" t="s">
        <v>1691</v>
      </c>
      <c r="M14" s="728" t="s">
        <v>1699</v>
      </c>
      <c r="N14" s="729"/>
    </row>
    <row r="15" spans="1:14" ht="16" thickBot="1" x14ac:dyDescent="0.25">
      <c r="A15" s="735"/>
      <c r="B15" s="732"/>
      <c r="C15" s="367" t="s">
        <v>1694</v>
      </c>
      <c r="D15" s="368"/>
      <c r="E15" s="369" t="s">
        <v>1695</v>
      </c>
      <c r="F15" s="729"/>
      <c r="G15" s="729"/>
      <c r="H15" s="735"/>
      <c r="I15" s="732"/>
      <c r="J15" s="367" t="s">
        <v>1694</v>
      </c>
      <c r="K15" s="368"/>
      <c r="L15" s="369" t="s">
        <v>1695</v>
      </c>
      <c r="M15" s="729"/>
      <c r="N15" s="729"/>
    </row>
    <row r="16" spans="1:14" ht="16" thickBot="1" x14ac:dyDescent="0.25">
      <c r="A16" s="736"/>
      <c r="B16" s="733"/>
      <c r="C16" s="370" t="s">
        <v>1696</v>
      </c>
      <c r="D16" s="371"/>
      <c r="E16" s="372" t="s">
        <v>1697</v>
      </c>
      <c r="F16" s="730"/>
      <c r="G16" s="730"/>
      <c r="H16" s="736"/>
      <c r="I16" s="733"/>
      <c r="J16" s="370" t="s">
        <v>1696</v>
      </c>
      <c r="K16" s="371"/>
      <c r="L16" s="372" t="s">
        <v>1697</v>
      </c>
      <c r="M16" s="730"/>
      <c r="N16" s="730"/>
    </row>
    <row r="17" spans="1:14" ht="17.25" customHeight="1" x14ac:dyDescent="0.2">
      <c r="A17" s="724" t="s">
        <v>17</v>
      </c>
      <c r="B17" s="724"/>
      <c r="C17" s="724"/>
      <c r="D17" s="724"/>
      <c r="E17" s="724"/>
      <c r="F17" s="724"/>
      <c r="G17" s="724"/>
      <c r="H17" s="725" t="s">
        <v>104</v>
      </c>
      <c r="I17" s="725"/>
      <c r="J17" s="725"/>
      <c r="K17" s="725"/>
      <c r="L17" s="725"/>
      <c r="M17" s="725"/>
      <c r="N17" s="725"/>
    </row>
    <row r="18" spans="1:14" ht="17.25" customHeight="1" x14ac:dyDescent="0.2">
      <c r="A18" s="726" t="s">
        <v>1868</v>
      </c>
      <c r="B18" s="726"/>
      <c r="C18" s="726"/>
      <c r="D18" s="727" t="s">
        <v>1869</v>
      </c>
      <c r="E18" s="727"/>
      <c r="F18" s="727"/>
      <c r="G18" s="727"/>
      <c r="H18" s="726" t="s">
        <v>1868</v>
      </c>
      <c r="I18" s="726"/>
      <c r="J18" s="726"/>
      <c r="K18" s="727" t="s">
        <v>1869</v>
      </c>
      <c r="L18" s="727"/>
      <c r="M18" s="727"/>
      <c r="N18" s="727"/>
    </row>
    <row r="19" spans="1:14" ht="16" thickBot="1" x14ac:dyDescent="0.25">
      <c r="A19" s="373" t="s">
        <v>668</v>
      </c>
      <c r="B19" s="367" t="s">
        <v>1702</v>
      </c>
      <c r="C19" s="370" t="s">
        <v>1696</v>
      </c>
      <c r="D19" s="371">
        <v>608119555</v>
      </c>
      <c r="E19" s="372" t="s">
        <v>1697</v>
      </c>
      <c r="F19" s="369" t="s">
        <v>1703</v>
      </c>
      <c r="G19" s="369" t="s">
        <v>1870</v>
      </c>
      <c r="H19" s="373" t="s">
        <v>668</v>
      </c>
      <c r="I19" s="367" t="s">
        <v>1702</v>
      </c>
      <c r="J19" s="370" t="s">
        <v>1696</v>
      </c>
      <c r="K19" s="371">
        <v>559622126</v>
      </c>
      <c r="L19" s="372" t="s">
        <v>1697</v>
      </c>
      <c r="M19" s="369" t="s">
        <v>1703</v>
      </c>
      <c r="N19" s="369" t="s">
        <v>1870</v>
      </c>
    </row>
    <row r="20" spans="1:14" ht="29" thickBot="1" x14ac:dyDescent="0.25">
      <c r="A20" s="373" t="s">
        <v>674</v>
      </c>
      <c r="B20" s="367" t="s">
        <v>1702</v>
      </c>
      <c r="C20" s="370" t="s">
        <v>1696</v>
      </c>
      <c r="D20" s="371"/>
      <c r="E20" s="372" t="s">
        <v>1697</v>
      </c>
      <c r="F20" s="369" t="s">
        <v>1703</v>
      </c>
      <c r="G20" s="369" t="s">
        <v>1871</v>
      </c>
      <c r="H20" s="373" t="s">
        <v>674</v>
      </c>
      <c r="I20" s="367" t="s">
        <v>1702</v>
      </c>
      <c r="J20" s="370" t="s">
        <v>1696</v>
      </c>
      <c r="K20" s="371"/>
      <c r="L20" s="372" t="s">
        <v>1697</v>
      </c>
      <c r="M20" s="369" t="s">
        <v>1703</v>
      </c>
      <c r="N20" s="369" t="s">
        <v>1871</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baseColWidth="10" defaultColWidth="9.3984375" defaultRowHeight="15" x14ac:dyDescent="0.2"/>
  <cols>
    <col min="1" max="1" width="21.3984375" style="375" bestFit="1" customWidth="1" collapsed="1"/>
    <col min="2" max="2" width="26" style="375" bestFit="1" customWidth="1" collapsed="1"/>
    <col min="3" max="3" width="34.3984375" style="375" bestFit="1" customWidth="1" collapsed="1"/>
    <col min="4" max="4" width="30" style="375" customWidth="1" collapsed="1"/>
    <col min="5" max="5" width="29.19921875" style="375" bestFit="1" customWidth="1" collapsed="1"/>
    <col min="6" max="6" width="22.796875" style="375" bestFit="1" customWidth="1" collapsed="1"/>
    <col min="7" max="7" width="18.59765625" style="375" bestFit="1" customWidth="1" collapsed="1"/>
    <col min="8" max="8" width="21.3984375" style="375" bestFit="1" customWidth="1" collapsed="1"/>
    <col min="9" max="9" width="26" style="375" bestFit="1" customWidth="1" collapsed="1"/>
    <col min="10" max="10" width="34.3984375" style="375" bestFit="1" customWidth="1" collapsed="1"/>
    <col min="11" max="11" width="30" style="375" customWidth="1" collapsed="1"/>
    <col min="12" max="12" width="29.19921875" style="375" bestFit="1" customWidth="1" collapsed="1"/>
    <col min="13" max="13" width="22.796875" style="375" bestFit="1" customWidth="1" collapsed="1"/>
    <col min="14" max="14" width="18.59765625" style="375" bestFit="1" customWidth="1" collapsed="1"/>
    <col min="15" max="16384" width="9.3984375" style="375" collapsed="1"/>
  </cols>
  <sheetData>
    <row r="1" spans="1:14" ht="18" x14ac:dyDescent="0.2">
      <c r="A1" s="374" t="s">
        <v>1872</v>
      </c>
    </row>
    <row r="3" spans="1:14" ht="17.25" customHeight="1" x14ac:dyDescent="0.2">
      <c r="A3" s="737" t="s">
        <v>17</v>
      </c>
      <c r="B3" s="737"/>
      <c r="C3" s="737"/>
      <c r="D3" s="737"/>
      <c r="E3" s="737"/>
      <c r="F3" s="737"/>
      <c r="G3" s="737"/>
      <c r="H3" s="738" t="s">
        <v>104</v>
      </c>
      <c r="I3" s="738"/>
      <c r="J3" s="738"/>
      <c r="K3" s="738"/>
      <c r="L3" s="738"/>
      <c r="M3" s="738"/>
      <c r="N3" s="738"/>
    </row>
    <row r="4" spans="1:14" ht="17.25" customHeight="1" x14ac:dyDescent="0.2">
      <c r="A4" s="737" t="s">
        <v>1873</v>
      </c>
      <c r="B4" s="737"/>
      <c r="C4" s="737"/>
      <c r="D4" s="738" t="s">
        <v>1874</v>
      </c>
      <c r="E4" s="738"/>
      <c r="F4" s="738"/>
      <c r="G4" s="738"/>
      <c r="H4" s="737" t="s">
        <v>1873</v>
      </c>
      <c r="I4" s="737"/>
      <c r="J4" s="737"/>
      <c r="K4" s="738" t="s">
        <v>1874</v>
      </c>
      <c r="L4" s="738"/>
      <c r="M4" s="738"/>
      <c r="N4" s="738"/>
    </row>
    <row r="5" spans="1:14" ht="16" thickBot="1" x14ac:dyDescent="0.25">
      <c r="A5" s="739" t="s">
        <v>680</v>
      </c>
      <c r="B5" s="741" t="s">
        <v>1690</v>
      </c>
      <c r="C5" s="376" t="s">
        <v>1691</v>
      </c>
      <c r="D5" s="377">
        <v>0</v>
      </c>
      <c r="E5" s="378" t="s">
        <v>1691</v>
      </c>
      <c r="F5" s="743" t="s">
        <v>1692</v>
      </c>
      <c r="G5" s="743" t="s">
        <v>681</v>
      </c>
      <c r="H5" s="739" t="s">
        <v>680</v>
      </c>
      <c r="I5" s="741" t="s">
        <v>1690</v>
      </c>
      <c r="J5" s="376" t="s">
        <v>1691</v>
      </c>
      <c r="K5" s="377">
        <v>0</v>
      </c>
      <c r="L5" s="378" t="s">
        <v>1691</v>
      </c>
      <c r="M5" s="743" t="s">
        <v>1692</v>
      </c>
      <c r="N5" s="743" t="s">
        <v>681</v>
      </c>
    </row>
    <row r="6" spans="1:14" ht="16" thickBot="1" x14ac:dyDescent="0.25">
      <c r="A6" s="739"/>
      <c r="B6" s="741"/>
      <c r="C6" s="376" t="s">
        <v>1694</v>
      </c>
      <c r="D6" s="377">
        <v>0</v>
      </c>
      <c r="E6" s="378" t="s">
        <v>1695</v>
      </c>
      <c r="F6" s="743"/>
      <c r="G6" s="743"/>
      <c r="H6" s="739"/>
      <c r="I6" s="741"/>
      <c r="J6" s="376" t="s">
        <v>1694</v>
      </c>
      <c r="K6" s="377">
        <v>0</v>
      </c>
      <c r="L6" s="378" t="s">
        <v>1695</v>
      </c>
      <c r="M6" s="743"/>
      <c r="N6" s="743"/>
    </row>
    <row r="7" spans="1:14" ht="16" thickBot="1" x14ac:dyDescent="0.25">
      <c r="A7" s="739"/>
      <c r="B7" s="742"/>
      <c r="C7" s="379" t="s">
        <v>1696</v>
      </c>
      <c r="D7" s="380">
        <v>0</v>
      </c>
      <c r="E7" s="381" t="s">
        <v>1697</v>
      </c>
      <c r="F7" s="744"/>
      <c r="G7" s="743"/>
      <c r="H7" s="739"/>
      <c r="I7" s="742"/>
      <c r="J7" s="379" t="s">
        <v>1696</v>
      </c>
      <c r="K7" s="380">
        <v>0</v>
      </c>
      <c r="L7" s="381" t="s">
        <v>1697</v>
      </c>
      <c r="M7" s="744"/>
      <c r="N7" s="743"/>
    </row>
    <row r="8" spans="1:14" ht="16" thickBot="1" x14ac:dyDescent="0.25">
      <c r="A8" s="739"/>
      <c r="B8" s="745" t="s">
        <v>1698</v>
      </c>
      <c r="C8" s="376" t="s">
        <v>1691</v>
      </c>
      <c r="D8" s="377">
        <v>179444343</v>
      </c>
      <c r="E8" s="378" t="s">
        <v>1691</v>
      </c>
      <c r="F8" s="746" t="s">
        <v>1699</v>
      </c>
      <c r="G8" s="743"/>
      <c r="H8" s="739"/>
      <c r="I8" s="745" t="s">
        <v>1698</v>
      </c>
      <c r="J8" s="376" t="s">
        <v>1691</v>
      </c>
      <c r="K8" s="377">
        <v>186951265</v>
      </c>
      <c r="L8" s="378" t="s">
        <v>1691</v>
      </c>
      <c r="M8" s="746" t="s">
        <v>1699</v>
      </c>
      <c r="N8" s="743"/>
    </row>
    <row r="9" spans="1:14" ht="16" thickBot="1" x14ac:dyDescent="0.25">
      <c r="A9" s="739"/>
      <c r="B9" s="741"/>
      <c r="C9" s="376" t="s">
        <v>1694</v>
      </c>
      <c r="D9" s="377">
        <v>15224668</v>
      </c>
      <c r="E9" s="378" t="s">
        <v>1695</v>
      </c>
      <c r="F9" s="743"/>
      <c r="G9" s="743"/>
      <c r="H9" s="739"/>
      <c r="I9" s="741"/>
      <c r="J9" s="376" t="s">
        <v>1694</v>
      </c>
      <c r="K9" s="377">
        <v>14604927</v>
      </c>
      <c r="L9" s="378" t="s">
        <v>1695</v>
      </c>
      <c r="M9" s="743"/>
      <c r="N9" s="743"/>
    </row>
    <row r="10" spans="1:14" ht="16" thickBot="1" x14ac:dyDescent="0.25">
      <c r="A10" s="740"/>
      <c r="B10" s="742"/>
      <c r="C10" s="379" t="s">
        <v>1696</v>
      </c>
      <c r="D10" s="380">
        <v>194669011</v>
      </c>
      <c r="E10" s="381" t="s">
        <v>1697</v>
      </c>
      <c r="F10" s="744"/>
      <c r="G10" s="744"/>
      <c r="H10" s="740"/>
      <c r="I10" s="742"/>
      <c r="J10" s="379" t="s">
        <v>1696</v>
      </c>
      <c r="K10" s="380">
        <v>201556192</v>
      </c>
      <c r="L10" s="381" t="s">
        <v>1697</v>
      </c>
      <c r="M10" s="744"/>
      <c r="N10" s="744"/>
    </row>
    <row r="11" spans="1:14" ht="16" thickBot="1" x14ac:dyDescent="0.25">
      <c r="A11" s="747" t="s">
        <v>686</v>
      </c>
      <c r="B11" s="745" t="s">
        <v>1690</v>
      </c>
      <c r="C11" s="376" t="s">
        <v>1691</v>
      </c>
      <c r="D11" s="377"/>
      <c r="E11" s="378" t="s">
        <v>1691</v>
      </c>
      <c r="F11" s="746" t="s">
        <v>1692</v>
      </c>
      <c r="G11" s="746" t="s">
        <v>687</v>
      </c>
      <c r="H11" s="747" t="s">
        <v>686</v>
      </c>
      <c r="I11" s="745" t="s">
        <v>1690</v>
      </c>
      <c r="J11" s="376" t="s">
        <v>1691</v>
      </c>
      <c r="K11" s="377"/>
      <c r="L11" s="378" t="s">
        <v>1691</v>
      </c>
      <c r="M11" s="746" t="s">
        <v>1692</v>
      </c>
      <c r="N11" s="746" t="s">
        <v>687</v>
      </c>
    </row>
    <row r="12" spans="1:14" ht="16" thickBot="1" x14ac:dyDescent="0.25">
      <c r="A12" s="739"/>
      <c r="B12" s="741"/>
      <c r="C12" s="376" t="s">
        <v>1694</v>
      </c>
      <c r="D12" s="377"/>
      <c r="E12" s="378" t="s">
        <v>1695</v>
      </c>
      <c r="F12" s="743"/>
      <c r="G12" s="743"/>
      <c r="H12" s="739"/>
      <c r="I12" s="741"/>
      <c r="J12" s="376" t="s">
        <v>1694</v>
      </c>
      <c r="K12" s="377"/>
      <c r="L12" s="378" t="s">
        <v>1695</v>
      </c>
      <c r="M12" s="743"/>
      <c r="N12" s="743"/>
    </row>
    <row r="13" spans="1:14" ht="16" thickBot="1" x14ac:dyDescent="0.25">
      <c r="A13" s="739"/>
      <c r="B13" s="742"/>
      <c r="C13" s="379" t="s">
        <v>1696</v>
      </c>
      <c r="D13" s="380"/>
      <c r="E13" s="381" t="s">
        <v>1697</v>
      </c>
      <c r="F13" s="744"/>
      <c r="G13" s="743"/>
      <c r="H13" s="739"/>
      <c r="I13" s="742"/>
      <c r="J13" s="379" t="s">
        <v>1696</v>
      </c>
      <c r="K13" s="380"/>
      <c r="L13" s="381" t="s">
        <v>1697</v>
      </c>
      <c r="M13" s="744"/>
      <c r="N13" s="743"/>
    </row>
    <row r="14" spans="1:14" ht="16" thickBot="1" x14ac:dyDescent="0.25">
      <c r="A14" s="739"/>
      <c r="B14" s="745" t="s">
        <v>1698</v>
      </c>
      <c r="C14" s="376" t="s">
        <v>1691</v>
      </c>
      <c r="D14" s="377"/>
      <c r="E14" s="378" t="s">
        <v>1691</v>
      </c>
      <c r="F14" s="746" t="s">
        <v>1699</v>
      </c>
      <c r="G14" s="743"/>
      <c r="H14" s="739"/>
      <c r="I14" s="745" t="s">
        <v>1698</v>
      </c>
      <c r="J14" s="376" t="s">
        <v>1691</v>
      </c>
      <c r="K14" s="377"/>
      <c r="L14" s="378" t="s">
        <v>1691</v>
      </c>
      <c r="M14" s="746" t="s">
        <v>1699</v>
      </c>
      <c r="N14" s="743"/>
    </row>
    <row r="15" spans="1:14" ht="16" thickBot="1" x14ac:dyDescent="0.25">
      <c r="A15" s="739"/>
      <c r="B15" s="741"/>
      <c r="C15" s="376" t="s">
        <v>1694</v>
      </c>
      <c r="D15" s="377"/>
      <c r="E15" s="378" t="s">
        <v>1695</v>
      </c>
      <c r="F15" s="743"/>
      <c r="G15" s="743"/>
      <c r="H15" s="739"/>
      <c r="I15" s="741"/>
      <c r="J15" s="376" t="s">
        <v>1694</v>
      </c>
      <c r="K15" s="377"/>
      <c r="L15" s="378" t="s">
        <v>1695</v>
      </c>
      <c r="M15" s="743"/>
      <c r="N15" s="743"/>
    </row>
    <row r="16" spans="1:14" ht="16" thickBot="1" x14ac:dyDescent="0.25">
      <c r="A16" s="740"/>
      <c r="B16" s="742"/>
      <c r="C16" s="379" t="s">
        <v>1696</v>
      </c>
      <c r="D16" s="380"/>
      <c r="E16" s="381" t="s">
        <v>1697</v>
      </c>
      <c r="F16" s="744"/>
      <c r="G16" s="744"/>
      <c r="H16" s="740"/>
      <c r="I16" s="742"/>
      <c r="J16" s="379" t="s">
        <v>1696</v>
      </c>
      <c r="K16" s="380"/>
      <c r="L16" s="381" t="s">
        <v>1697</v>
      </c>
      <c r="M16" s="744"/>
      <c r="N16" s="744"/>
    </row>
    <row r="17" spans="1:14" ht="17.25" customHeight="1" x14ac:dyDescent="0.2">
      <c r="A17" s="748" t="s">
        <v>17</v>
      </c>
      <c r="B17" s="748"/>
      <c r="C17" s="748"/>
      <c r="D17" s="748"/>
      <c r="E17" s="748"/>
      <c r="F17" s="748"/>
      <c r="G17" s="748"/>
      <c r="H17" s="749" t="s">
        <v>104</v>
      </c>
      <c r="I17" s="749"/>
      <c r="J17" s="749"/>
      <c r="K17" s="749"/>
      <c r="L17" s="749"/>
      <c r="M17" s="749"/>
      <c r="N17" s="749"/>
    </row>
    <row r="18" spans="1:14" ht="17.25" customHeight="1" x14ac:dyDescent="0.2">
      <c r="A18" s="737" t="s">
        <v>1873</v>
      </c>
      <c r="B18" s="737"/>
      <c r="C18" s="737"/>
      <c r="D18" s="738" t="s">
        <v>1874</v>
      </c>
      <c r="E18" s="738"/>
      <c r="F18" s="738"/>
      <c r="G18" s="738"/>
      <c r="H18" s="737" t="s">
        <v>1873</v>
      </c>
      <c r="I18" s="737"/>
      <c r="J18" s="737"/>
      <c r="K18" s="738" t="s">
        <v>1874</v>
      </c>
      <c r="L18" s="738"/>
      <c r="M18" s="738"/>
      <c r="N18" s="738"/>
    </row>
    <row r="19" spans="1:14" ht="16" thickBot="1" x14ac:dyDescent="0.25">
      <c r="A19" s="382" t="s">
        <v>680</v>
      </c>
      <c r="B19" s="376" t="s">
        <v>1702</v>
      </c>
      <c r="C19" s="379" t="s">
        <v>1696</v>
      </c>
      <c r="D19" s="380">
        <v>194669011</v>
      </c>
      <c r="E19" s="381" t="s">
        <v>1697</v>
      </c>
      <c r="F19" s="378" t="s">
        <v>1703</v>
      </c>
      <c r="G19" s="378" t="s">
        <v>681</v>
      </c>
      <c r="H19" s="382" t="s">
        <v>680</v>
      </c>
      <c r="I19" s="376" t="s">
        <v>1702</v>
      </c>
      <c r="J19" s="379" t="s">
        <v>1696</v>
      </c>
      <c r="K19" s="380">
        <v>201556192</v>
      </c>
      <c r="L19" s="381" t="s">
        <v>1697</v>
      </c>
      <c r="M19" s="378" t="s">
        <v>1703</v>
      </c>
      <c r="N19" s="378" t="s">
        <v>681</v>
      </c>
    </row>
    <row r="20" spans="1:14" ht="16" thickBot="1" x14ac:dyDescent="0.25">
      <c r="A20" s="382" t="s">
        <v>686</v>
      </c>
      <c r="B20" s="376" t="s">
        <v>1702</v>
      </c>
      <c r="C20" s="379" t="s">
        <v>1696</v>
      </c>
      <c r="D20" s="380"/>
      <c r="E20" s="381" t="s">
        <v>1697</v>
      </c>
      <c r="F20" s="378" t="s">
        <v>1703</v>
      </c>
      <c r="G20" s="378" t="s">
        <v>687</v>
      </c>
      <c r="H20" s="382" t="s">
        <v>686</v>
      </c>
      <c r="I20" s="376" t="s">
        <v>1702</v>
      </c>
      <c r="J20" s="379" t="s">
        <v>1696</v>
      </c>
      <c r="K20" s="380"/>
      <c r="L20" s="381" t="s">
        <v>1697</v>
      </c>
      <c r="M20" s="378" t="s">
        <v>1703</v>
      </c>
      <c r="N20" s="378" t="s">
        <v>687</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baseColWidth="10" defaultColWidth="9.3984375" defaultRowHeight="15" x14ac:dyDescent="0.2"/>
  <cols>
    <col min="1" max="1" width="35.796875" style="384" customWidth="1" collapsed="1"/>
    <col min="2" max="2" width="34.3984375" style="384" customWidth="1" collapsed="1"/>
    <col min="3" max="3" width="30" style="384" customWidth="1" collapsed="1"/>
    <col min="4" max="4" width="29.19921875" style="384" bestFit="1" customWidth="1" collapsed="1"/>
    <col min="5" max="5" width="32.3984375" style="384" bestFit="1" customWidth="1" collapsed="1"/>
    <col min="6" max="6" width="35.796875" style="384" customWidth="1" collapsed="1"/>
    <col min="7" max="7" width="34.3984375" style="384" customWidth="1" collapsed="1"/>
    <col min="8" max="8" width="30" style="384" customWidth="1" collapsed="1"/>
    <col min="9" max="9" width="29.19921875" style="384" bestFit="1" customWidth="1" collapsed="1"/>
    <col min="10" max="10" width="32.3984375" style="384" bestFit="1" customWidth="1" collapsed="1"/>
    <col min="11" max="16384" width="9.3984375" style="384" collapsed="1"/>
  </cols>
  <sheetData>
    <row r="1" spans="1:10" ht="18" x14ac:dyDescent="0.2">
      <c r="A1" s="383" t="s">
        <v>1875</v>
      </c>
    </row>
    <row r="3" spans="1:10" ht="17.25" customHeight="1" x14ac:dyDescent="0.2">
      <c r="A3" s="756" t="s">
        <v>17</v>
      </c>
      <c r="B3" s="756"/>
      <c r="C3" s="756"/>
      <c r="D3" s="756"/>
      <c r="E3" s="756"/>
      <c r="F3" s="757" t="s">
        <v>104</v>
      </c>
      <c r="G3" s="757"/>
      <c r="H3" s="757"/>
      <c r="I3" s="757"/>
      <c r="J3" s="757"/>
    </row>
    <row r="4" spans="1:10" ht="34.5" customHeight="1" x14ac:dyDescent="0.2">
      <c r="A4" s="756" t="s">
        <v>1876</v>
      </c>
      <c r="B4" s="756"/>
      <c r="C4" s="757" t="s">
        <v>1877</v>
      </c>
      <c r="D4" s="757"/>
      <c r="E4" s="757"/>
      <c r="F4" s="756" t="s">
        <v>1876</v>
      </c>
      <c r="G4" s="756"/>
      <c r="H4" s="757" t="s">
        <v>1877</v>
      </c>
      <c r="I4" s="757"/>
      <c r="J4" s="757"/>
    </row>
    <row r="5" spans="1:10" ht="16" thickBot="1" x14ac:dyDescent="0.25">
      <c r="A5" s="751" t="s">
        <v>1878</v>
      </c>
      <c r="B5" s="385" t="s">
        <v>1691</v>
      </c>
      <c r="C5" s="386">
        <v>9.3767954604587565E-3</v>
      </c>
      <c r="D5" s="387" t="s">
        <v>1691</v>
      </c>
      <c r="E5" s="754" t="s">
        <v>1879</v>
      </c>
      <c r="F5" s="751" t="s">
        <v>1878</v>
      </c>
      <c r="G5" s="385" t="s">
        <v>1691</v>
      </c>
      <c r="H5" s="386">
        <v>7.9366146346458374E-3</v>
      </c>
      <c r="I5" s="387" t="s">
        <v>1691</v>
      </c>
      <c r="J5" s="754" t="s">
        <v>1879</v>
      </c>
    </row>
    <row r="6" spans="1:10" ht="16" thickBot="1" x14ac:dyDescent="0.25">
      <c r="A6" s="751"/>
      <c r="B6" s="385" t="s">
        <v>1694</v>
      </c>
      <c r="C6" s="386">
        <v>7.9648800856023765E-3</v>
      </c>
      <c r="D6" s="387" t="s">
        <v>1695</v>
      </c>
      <c r="E6" s="754"/>
      <c r="F6" s="751"/>
      <c r="G6" s="385" t="s">
        <v>1694</v>
      </c>
      <c r="H6" s="386">
        <v>6.1210281186193398E-3</v>
      </c>
      <c r="I6" s="387" t="s">
        <v>1695</v>
      </c>
      <c r="J6" s="754"/>
    </row>
    <row r="7" spans="1:10" ht="16" thickBot="1" x14ac:dyDescent="0.25">
      <c r="A7" s="752"/>
      <c r="B7" s="388" t="s">
        <v>1696</v>
      </c>
      <c r="C7" s="389"/>
      <c r="D7" s="390" t="s">
        <v>1697</v>
      </c>
      <c r="E7" s="755"/>
      <c r="F7" s="752"/>
      <c r="G7" s="388" t="s">
        <v>1696</v>
      </c>
      <c r="H7" s="389"/>
      <c r="I7" s="390" t="s">
        <v>1697</v>
      </c>
      <c r="J7" s="755"/>
    </row>
    <row r="8" spans="1:10" ht="16" thickBot="1" x14ac:dyDescent="0.25">
      <c r="A8" s="750" t="s">
        <v>1880</v>
      </c>
      <c r="B8" s="385" t="s">
        <v>1691</v>
      </c>
      <c r="C8" s="386"/>
      <c r="D8" s="387" t="s">
        <v>1691</v>
      </c>
      <c r="E8" s="753" t="s">
        <v>1881</v>
      </c>
      <c r="F8" s="750" t="s">
        <v>1880</v>
      </c>
      <c r="G8" s="385" t="s">
        <v>1691</v>
      </c>
      <c r="H8" s="386"/>
      <c r="I8" s="387" t="s">
        <v>1691</v>
      </c>
      <c r="J8" s="753" t="s">
        <v>1881</v>
      </c>
    </row>
    <row r="9" spans="1:10" ht="16" thickBot="1" x14ac:dyDescent="0.25">
      <c r="A9" s="751"/>
      <c r="B9" s="385" t="s">
        <v>1694</v>
      </c>
      <c r="C9" s="386"/>
      <c r="D9" s="387" t="s">
        <v>1695</v>
      </c>
      <c r="E9" s="754"/>
      <c r="F9" s="751"/>
      <c r="G9" s="385" t="s">
        <v>1694</v>
      </c>
      <c r="H9" s="386"/>
      <c r="I9" s="387" t="s">
        <v>1695</v>
      </c>
      <c r="J9" s="754"/>
    </row>
    <row r="10" spans="1:10" ht="16" thickBot="1" x14ac:dyDescent="0.25">
      <c r="A10" s="752"/>
      <c r="B10" s="388" t="s">
        <v>1696</v>
      </c>
      <c r="C10" s="389"/>
      <c r="D10" s="390" t="s">
        <v>1697</v>
      </c>
      <c r="E10" s="755"/>
      <c r="F10" s="752"/>
      <c r="G10" s="388" t="s">
        <v>1696</v>
      </c>
      <c r="H10" s="389"/>
      <c r="I10" s="390" t="s">
        <v>1697</v>
      </c>
      <c r="J10" s="755"/>
    </row>
    <row r="11" spans="1:10" ht="16" thickBot="1" x14ac:dyDescent="0.25">
      <c r="A11" s="750" t="s">
        <v>1882</v>
      </c>
      <c r="B11" s="385" t="s">
        <v>1691</v>
      </c>
      <c r="C11" s="386">
        <v>9.1651692174296291E-4</v>
      </c>
      <c r="D11" s="387" t="s">
        <v>1691</v>
      </c>
      <c r="E11" s="753" t="s">
        <v>1883</v>
      </c>
      <c r="F11" s="750" t="s">
        <v>1882</v>
      </c>
      <c r="G11" s="385" t="s">
        <v>1691</v>
      </c>
      <c r="H11" s="386">
        <v>7.4745296745909408E-4</v>
      </c>
      <c r="I11" s="387" t="s">
        <v>1691</v>
      </c>
      <c r="J11" s="753" t="s">
        <v>1883</v>
      </c>
    </row>
    <row r="12" spans="1:10" ht="16" thickBot="1" x14ac:dyDescent="0.25">
      <c r="A12" s="751"/>
      <c r="B12" s="385" t="s">
        <v>1694</v>
      </c>
      <c r="C12" s="386">
        <v>3.2356993203986055E-3</v>
      </c>
      <c r="D12" s="387" t="s">
        <v>1695</v>
      </c>
      <c r="E12" s="754"/>
      <c r="F12" s="751"/>
      <c r="G12" s="385" t="s">
        <v>1694</v>
      </c>
      <c r="H12" s="386">
        <v>3.5288959536469559E-3</v>
      </c>
      <c r="I12" s="387" t="s">
        <v>1695</v>
      </c>
      <c r="J12" s="754"/>
    </row>
    <row r="13" spans="1:10" ht="16" thickBot="1" x14ac:dyDescent="0.25">
      <c r="A13" s="752"/>
      <c r="B13" s="388" t="s">
        <v>1696</v>
      </c>
      <c r="C13" s="389"/>
      <c r="D13" s="390" t="s">
        <v>1697</v>
      </c>
      <c r="E13" s="755"/>
      <c r="F13" s="752"/>
      <c r="G13" s="388" t="s">
        <v>1696</v>
      </c>
      <c r="H13" s="389"/>
      <c r="I13" s="390" t="s">
        <v>1697</v>
      </c>
      <c r="J13" s="755"/>
    </row>
    <row r="14" spans="1:10" ht="16" thickBot="1" x14ac:dyDescent="0.25">
      <c r="A14" s="750" t="s">
        <v>1884</v>
      </c>
      <c r="B14" s="385" t="s">
        <v>1691</v>
      </c>
      <c r="C14" s="386"/>
      <c r="D14" s="387" t="s">
        <v>1691</v>
      </c>
      <c r="E14" s="753" t="s">
        <v>1885</v>
      </c>
      <c r="F14" s="750" t="s">
        <v>1884</v>
      </c>
      <c r="G14" s="385" t="s">
        <v>1691</v>
      </c>
      <c r="H14" s="386"/>
      <c r="I14" s="387" t="s">
        <v>1691</v>
      </c>
      <c r="J14" s="753" t="s">
        <v>1885</v>
      </c>
    </row>
    <row r="15" spans="1:10" ht="16" thickBot="1" x14ac:dyDescent="0.25">
      <c r="A15" s="751"/>
      <c r="B15" s="385" t="s">
        <v>1694</v>
      </c>
      <c r="C15" s="386"/>
      <c r="D15" s="387" t="s">
        <v>1695</v>
      </c>
      <c r="E15" s="754"/>
      <c r="F15" s="751"/>
      <c r="G15" s="385" t="s">
        <v>1694</v>
      </c>
      <c r="H15" s="386"/>
      <c r="I15" s="387" t="s">
        <v>1695</v>
      </c>
      <c r="J15" s="754"/>
    </row>
    <row r="16" spans="1:10" ht="16" thickBot="1" x14ac:dyDescent="0.25">
      <c r="A16" s="752"/>
      <c r="B16" s="388" t="s">
        <v>1696</v>
      </c>
      <c r="C16" s="389"/>
      <c r="D16" s="390" t="s">
        <v>1697</v>
      </c>
      <c r="E16" s="755"/>
      <c r="F16" s="752"/>
      <c r="G16" s="388" t="s">
        <v>1696</v>
      </c>
      <c r="H16" s="389"/>
      <c r="I16" s="390" t="s">
        <v>1697</v>
      </c>
      <c r="J16" s="755"/>
    </row>
    <row r="17" spans="1:10" ht="16" thickBot="1" x14ac:dyDescent="0.25">
      <c r="A17" s="750" t="s">
        <v>1886</v>
      </c>
      <c r="B17" s="385" t="s">
        <v>1691</v>
      </c>
      <c r="C17" s="386">
        <v>3.0229125620626563E-2</v>
      </c>
      <c r="D17" s="387" t="s">
        <v>1691</v>
      </c>
      <c r="E17" s="753" t="s">
        <v>1887</v>
      </c>
      <c r="F17" s="750" t="s">
        <v>1886</v>
      </c>
      <c r="G17" s="385" t="s">
        <v>1691</v>
      </c>
      <c r="H17" s="386">
        <v>3.1279347921344673E-2</v>
      </c>
      <c r="I17" s="387" t="s">
        <v>1691</v>
      </c>
      <c r="J17" s="753" t="s">
        <v>1887</v>
      </c>
    </row>
    <row r="18" spans="1:10" ht="16" thickBot="1" x14ac:dyDescent="0.25">
      <c r="A18" s="751"/>
      <c r="B18" s="385" t="s">
        <v>1694</v>
      </c>
      <c r="C18" s="386">
        <v>2.0188989491411853E-2</v>
      </c>
      <c r="D18" s="387" t="s">
        <v>1695</v>
      </c>
      <c r="E18" s="754"/>
      <c r="F18" s="751"/>
      <c r="G18" s="385" t="s">
        <v>1694</v>
      </c>
      <c r="H18" s="386">
        <v>2.1228257379322869E-2</v>
      </c>
      <c r="I18" s="387" t="s">
        <v>1695</v>
      </c>
      <c r="J18" s="754"/>
    </row>
    <row r="19" spans="1:10" ht="16" thickBot="1" x14ac:dyDescent="0.25">
      <c r="A19" s="752"/>
      <c r="B19" s="388" t="s">
        <v>1696</v>
      </c>
      <c r="C19" s="389"/>
      <c r="D19" s="390" t="s">
        <v>1697</v>
      </c>
      <c r="E19" s="755"/>
      <c r="F19" s="752"/>
      <c r="G19" s="388" t="s">
        <v>1696</v>
      </c>
      <c r="H19" s="389"/>
      <c r="I19" s="390" t="s">
        <v>1697</v>
      </c>
      <c r="J19" s="755"/>
    </row>
    <row r="20" spans="1:10" ht="16" thickBot="1" x14ac:dyDescent="0.25">
      <c r="A20" s="750" t="s">
        <v>1888</v>
      </c>
      <c r="B20" s="385" t="s">
        <v>1691</v>
      </c>
      <c r="C20" s="386"/>
      <c r="D20" s="387" t="s">
        <v>1691</v>
      </c>
      <c r="E20" s="753" t="s">
        <v>1889</v>
      </c>
      <c r="F20" s="750" t="s">
        <v>1888</v>
      </c>
      <c r="G20" s="385" t="s">
        <v>1691</v>
      </c>
      <c r="H20" s="386"/>
      <c r="I20" s="387" t="s">
        <v>1691</v>
      </c>
      <c r="J20" s="753" t="s">
        <v>1889</v>
      </c>
    </row>
    <row r="21" spans="1:10" ht="16" thickBot="1" x14ac:dyDescent="0.25">
      <c r="A21" s="751"/>
      <c r="B21" s="385" t="s">
        <v>1694</v>
      </c>
      <c r="C21" s="386"/>
      <c r="D21" s="387" t="s">
        <v>1695</v>
      </c>
      <c r="E21" s="754"/>
      <c r="F21" s="751"/>
      <c r="G21" s="385" t="s">
        <v>1694</v>
      </c>
      <c r="H21" s="386"/>
      <c r="I21" s="387" t="s">
        <v>1695</v>
      </c>
      <c r="J21" s="754"/>
    </row>
    <row r="22" spans="1:10" ht="16" thickBot="1" x14ac:dyDescent="0.25">
      <c r="A22" s="752"/>
      <c r="B22" s="388" t="s">
        <v>1696</v>
      </c>
      <c r="C22" s="389"/>
      <c r="D22" s="390" t="s">
        <v>1697</v>
      </c>
      <c r="E22" s="755"/>
      <c r="F22" s="752"/>
      <c r="G22" s="388" t="s">
        <v>1696</v>
      </c>
      <c r="H22" s="389"/>
      <c r="I22" s="390" t="s">
        <v>1697</v>
      </c>
      <c r="J22" s="755"/>
    </row>
  </sheetData>
  <sheetProtection password="83AF" sheet="1" objects="1" scenarios="1"/>
  <mergeCells count="30">
    <mergeCell ref="A3:E3"/>
    <mergeCell ref="F3:J3"/>
    <mergeCell ref="A4:B4"/>
    <mergeCell ref="C4:E4"/>
    <mergeCell ref="F4:G4"/>
    <mergeCell ref="H4:J4"/>
    <mergeCell ref="A5:A7"/>
    <mergeCell ref="E5:E7"/>
    <mergeCell ref="F5:F7"/>
    <mergeCell ref="J5:J7"/>
    <mergeCell ref="A8:A10"/>
    <mergeCell ref="E8:E10"/>
    <mergeCell ref="F8:F10"/>
    <mergeCell ref="J8:J10"/>
    <mergeCell ref="A11:A13"/>
    <mergeCell ref="E11:E13"/>
    <mergeCell ref="F11:F13"/>
    <mergeCell ref="J11:J13"/>
    <mergeCell ref="A14:A16"/>
    <mergeCell ref="E14:E16"/>
    <mergeCell ref="F14:F16"/>
    <mergeCell ref="J14:J16"/>
    <mergeCell ref="A17:A19"/>
    <mergeCell ref="E17:E19"/>
    <mergeCell ref="F17:F19"/>
    <mergeCell ref="J17:J19"/>
    <mergeCell ref="A20:A22"/>
    <mergeCell ref="E20:E22"/>
    <mergeCell ref="F20:F22"/>
    <mergeCell ref="J20:J22"/>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baseColWidth="10" defaultColWidth="9.3984375" defaultRowHeight="15" x14ac:dyDescent="0.2"/>
  <cols>
    <col min="1" max="1" width="42.59765625" style="391" bestFit="1" customWidth="1" collapsed="1"/>
    <col min="2" max="2" width="33.3984375" style="391" customWidth="1" collapsed="1"/>
    <col min="3" max="3" width="39.796875" style="391" bestFit="1" customWidth="1" collapsed="1"/>
    <col min="4" max="16384" width="9.3984375" style="391" collapsed="1"/>
  </cols>
  <sheetData>
    <row r="1" spans="1:3" ht="34.5" customHeight="1" x14ac:dyDescent="0.2">
      <c r="A1" s="758" t="s">
        <v>1890</v>
      </c>
      <c r="B1" s="759"/>
      <c r="C1" s="759"/>
    </row>
    <row r="3" spans="1:3" ht="17.25" customHeight="1" x14ac:dyDescent="0.2">
      <c r="A3" s="392" t="s">
        <v>1680</v>
      </c>
      <c r="B3" s="760" t="s">
        <v>1681</v>
      </c>
      <c r="C3" s="760"/>
    </row>
    <row r="4" spans="1:3" x14ac:dyDescent="0.2">
      <c r="A4" s="393"/>
      <c r="B4" s="394" t="s">
        <v>102</v>
      </c>
    </row>
    <row r="5" spans="1:3" ht="16" thickBot="1" x14ac:dyDescent="0.25">
      <c r="A5" s="395" t="s">
        <v>1680</v>
      </c>
      <c r="B5" s="396"/>
      <c r="C5" s="397" t="s">
        <v>1681</v>
      </c>
    </row>
    <row r="6" spans="1:3" ht="75" customHeight="1" thickBot="1" x14ac:dyDescent="0.25">
      <c r="A6" s="398" t="s">
        <v>1891</v>
      </c>
      <c r="B6" s="399" t="s">
        <v>2158</v>
      </c>
      <c r="C6" s="400"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baseColWidth="10" defaultColWidth="9.3984375" defaultRowHeight="15" x14ac:dyDescent="0.2"/>
  <cols>
    <col min="1" max="1" width="42.19921875" style="402" bestFit="1" customWidth="1" collapsed="1"/>
    <col min="2" max="2" width="26" style="402" bestFit="1" customWidth="1" collapsed="1"/>
    <col min="3" max="3" width="34.3984375" style="402" bestFit="1" customWidth="1" collapsed="1"/>
    <col min="4" max="4" width="30" style="402" customWidth="1" collapsed="1"/>
    <col min="5" max="5" width="29.19921875" style="402" bestFit="1" customWidth="1" collapsed="1"/>
    <col min="6" max="6" width="22.796875" style="402" bestFit="1" customWidth="1" collapsed="1"/>
    <col min="7" max="7" width="36.3984375" style="402" bestFit="1" customWidth="1" collapsed="1"/>
    <col min="8" max="8" width="42.19921875" style="402" bestFit="1" customWidth="1" collapsed="1"/>
    <col min="9" max="9" width="26" style="402" bestFit="1" customWidth="1" collapsed="1"/>
    <col min="10" max="10" width="34.3984375" style="402" bestFit="1" customWidth="1" collapsed="1"/>
    <col min="11" max="11" width="30" style="402" customWidth="1" collapsed="1"/>
    <col min="12" max="12" width="29.19921875" style="402" bestFit="1" customWidth="1" collapsed="1"/>
    <col min="13" max="13" width="22.796875" style="402" bestFit="1" customWidth="1" collapsed="1"/>
    <col min="14" max="14" width="36.3984375" style="402" bestFit="1" customWidth="1" collapsed="1"/>
    <col min="15" max="16384" width="9.3984375" style="402" collapsed="1"/>
  </cols>
  <sheetData>
    <row r="1" spans="1:14" ht="18" x14ac:dyDescent="0.2">
      <c r="A1" s="401" t="s">
        <v>1893</v>
      </c>
    </row>
    <row r="3" spans="1:14" ht="17.25" customHeight="1" x14ac:dyDescent="0.2">
      <c r="A3" s="763" t="s">
        <v>17</v>
      </c>
      <c r="B3" s="763"/>
      <c r="C3" s="763"/>
      <c r="D3" s="763"/>
      <c r="E3" s="763"/>
      <c r="F3" s="763"/>
      <c r="G3" s="763"/>
      <c r="H3" s="764" t="s">
        <v>104</v>
      </c>
      <c r="I3" s="764"/>
      <c r="J3" s="764"/>
      <c r="K3" s="764"/>
      <c r="L3" s="764"/>
      <c r="M3" s="764"/>
      <c r="N3" s="764"/>
    </row>
    <row r="4" spans="1:14" ht="17.25" customHeight="1" x14ac:dyDescent="0.2">
      <c r="A4" s="763" t="s">
        <v>781</v>
      </c>
      <c r="B4" s="763"/>
      <c r="C4" s="763"/>
      <c r="D4" s="764" t="s">
        <v>782</v>
      </c>
      <c r="E4" s="764"/>
      <c r="F4" s="764"/>
      <c r="G4" s="764"/>
      <c r="H4" s="763" t="s">
        <v>781</v>
      </c>
      <c r="I4" s="763"/>
      <c r="J4" s="763"/>
      <c r="K4" s="764" t="s">
        <v>782</v>
      </c>
      <c r="L4" s="764"/>
      <c r="M4" s="764"/>
      <c r="N4" s="764"/>
    </row>
    <row r="5" spans="1:14" ht="16" thickBot="1" x14ac:dyDescent="0.25">
      <c r="A5" s="772" t="s">
        <v>1894</v>
      </c>
      <c r="B5" s="769" t="s">
        <v>1690</v>
      </c>
      <c r="C5" s="403" t="s">
        <v>1691</v>
      </c>
      <c r="D5" s="404"/>
      <c r="E5" s="405" t="s">
        <v>1691</v>
      </c>
      <c r="F5" s="766" t="s">
        <v>1692</v>
      </c>
      <c r="G5" s="766" t="s">
        <v>1895</v>
      </c>
      <c r="H5" s="772" t="s">
        <v>1894</v>
      </c>
      <c r="I5" s="769" t="s">
        <v>1690</v>
      </c>
      <c r="J5" s="403" t="s">
        <v>1691</v>
      </c>
      <c r="K5" s="404"/>
      <c r="L5" s="405" t="s">
        <v>1691</v>
      </c>
      <c r="M5" s="766" t="s">
        <v>1692</v>
      </c>
      <c r="N5" s="766" t="s">
        <v>1895</v>
      </c>
    </row>
    <row r="6" spans="1:14" ht="16" thickBot="1" x14ac:dyDescent="0.25">
      <c r="A6" s="772"/>
      <c r="B6" s="769"/>
      <c r="C6" s="403" t="s">
        <v>1694</v>
      </c>
      <c r="D6" s="404"/>
      <c r="E6" s="405" t="s">
        <v>1695</v>
      </c>
      <c r="F6" s="766"/>
      <c r="G6" s="766"/>
      <c r="H6" s="772"/>
      <c r="I6" s="769"/>
      <c r="J6" s="403" t="s">
        <v>1694</v>
      </c>
      <c r="K6" s="404"/>
      <c r="L6" s="405" t="s">
        <v>1695</v>
      </c>
      <c r="M6" s="766"/>
      <c r="N6" s="766"/>
    </row>
    <row r="7" spans="1:14" ht="16" thickBot="1" x14ac:dyDescent="0.25">
      <c r="A7" s="772"/>
      <c r="B7" s="770"/>
      <c r="C7" s="406" t="s">
        <v>1696</v>
      </c>
      <c r="D7" s="407"/>
      <c r="E7" s="408" t="s">
        <v>1697</v>
      </c>
      <c r="F7" s="767"/>
      <c r="G7" s="766"/>
      <c r="H7" s="772"/>
      <c r="I7" s="770"/>
      <c r="J7" s="406" t="s">
        <v>1696</v>
      </c>
      <c r="K7" s="407"/>
      <c r="L7" s="408" t="s">
        <v>1697</v>
      </c>
      <c r="M7" s="767"/>
      <c r="N7" s="766"/>
    </row>
    <row r="8" spans="1:14" ht="16" thickBot="1" x14ac:dyDescent="0.25">
      <c r="A8" s="772"/>
      <c r="B8" s="768" t="s">
        <v>1698</v>
      </c>
      <c r="C8" s="403" t="s">
        <v>1691</v>
      </c>
      <c r="D8" s="404"/>
      <c r="E8" s="405" t="s">
        <v>1691</v>
      </c>
      <c r="F8" s="765" t="s">
        <v>1699</v>
      </c>
      <c r="G8" s="766"/>
      <c r="H8" s="772"/>
      <c r="I8" s="768" t="s">
        <v>1698</v>
      </c>
      <c r="J8" s="403" t="s">
        <v>1691</v>
      </c>
      <c r="K8" s="404"/>
      <c r="L8" s="405" t="s">
        <v>1691</v>
      </c>
      <c r="M8" s="765" t="s">
        <v>1699</v>
      </c>
      <c r="N8" s="766"/>
    </row>
    <row r="9" spans="1:14" ht="16" thickBot="1" x14ac:dyDescent="0.25">
      <c r="A9" s="772"/>
      <c r="B9" s="769"/>
      <c r="C9" s="403" t="s">
        <v>1694</v>
      </c>
      <c r="D9" s="404"/>
      <c r="E9" s="405" t="s">
        <v>1695</v>
      </c>
      <c r="F9" s="766"/>
      <c r="G9" s="766"/>
      <c r="H9" s="772"/>
      <c r="I9" s="769"/>
      <c r="J9" s="403" t="s">
        <v>1694</v>
      </c>
      <c r="K9" s="404"/>
      <c r="L9" s="405" t="s">
        <v>1695</v>
      </c>
      <c r="M9" s="766"/>
      <c r="N9" s="766"/>
    </row>
    <row r="10" spans="1:14" ht="16" thickBot="1" x14ac:dyDescent="0.25">
      <c r="A10" s="773"/>
      <c r="B10" s="770"/>
      <c r="C10" s="406" t="s">
        <v>1696</v>
      </c>
      <c r="D10" s="407"/>
      <c r="E10" s="408" t="s">
        <v>1697</v>
      </c>
      <c r="F10" s="767"/>
      <c r="G10" s="767"/>
      <c r="H10" s="773"/>
      <c r="I10" s="770"/>
      <c r="J10" s="406" t="s">
        <v>1696</v>
      </c>
      <c r="K10" s="407"/>
      <c r="L10" s="408" t="s">
        <v>1697</v>
      </c>
      <c r="M10" s="767"/>
      <c r="N10" s="767"/>
    </row>
    <row r="11" spans="1:14" ht="16" thickBot="1" x14ac:dyDescent="0.25">
      <c r="A11" s="771" t="s">
        <v>1896</v>
      </c>
      <c r="B11" s="768" t="s">
        <v>1690</v>
      </c>
      <c r="C11" s="403" t="s">
        <v>1691</v>
      </c>
      <c r="D11" s="404"/>
      <c r="E11" s="405" t="s">
        <v>1691</v>
      </c>
      <c r="F11" s="765" t="s">
        <v>1692</v>
      </c>
      <c r="G11" s="765" t="s">
        <v>1897</v>
      </c>
      <c r="H11" s="771" t="s">
        <v>1896</v>
      </c>
      <c r="I11" s="768" t="s">
        <v>1690</v>
      </c>
      <c r="J11" s="403" t="s">
        <v>1691</v>
      </c>
      <c r="K11" s="404"/>
      <c r="L11" s="405" t="s">
        <v>1691</v>
      </c>
      <c r="M11" s="765" t="s">
        <v>1692</v>
      </c>
      <c r="N11" s="765" t="s">
        <v>1897</v>
      </c>
    </row>
    <row r="12" spans="1:14" ht="16" thickBot="1" x14ac:dyDescent="0.25">
      <c r="A12" s="772"/>
      <c r="B12" s="769"/>
      <c r="C12" s="403" t="s">
        <v>1694</v>
      </c>
      <c r="D12" s="404"/>
      <c r="E12" s="405" t="s">
        <v>1695</v>
      </c>
      <c r="F12" s="766"/>
      <c r="G12" s="766"/>
      <c r="H12" s="772"/>
      <c r="I12" s="769"/>
      <c r="J12" s="403" t="s">
        <v>1694</v>
      </c>
      <c r="K12" s="404"/>
      <c r="L12" s="405" t="s">
        <v>1695</v>
      </c>
      <c r="M12" s="766"/>
      <c r="N12" s="766"/>
    </row>
    <row r="13" spans="1:14" ht="16" thickBot="1" x14ac:dyDescent="0.25">
      <c r="A13" s="772"/>
      <c r="B13" s="770"/>
      <c r="C13" s="406" t="s">
        <v>1696</v>
      </c>
      <c r="D13" s="407"/>
      <c r="E13" s="408" t="s">
        <v>1697</v>
      </c>
      <c r="F13" s="767"/>
      <c r="G13" s="766"/>
      <c r="H13" s="772"/>
      <c r="I13" s="770"/>
      <c r="J13" s="406" t="s">
        <v>1696</v>
      </c>
      <c r="K13" s="407"/>
      <c r="L13" s="408" t="s">
        <v>1697</v>
      </c>
      <c r="M13" s="767"/>
      <c r="N13" s="766"/>
    </row>
    <row r="14" spans="1:14" ht="16" thickBot="1" x14ac:dyDescent="0.25">
      <c r="A14" s="772"/>
      <c r="B14" s="768" t="s">
        <v>1698</v>
      </c>
      <c r="C14" s="403" t="s">
        <v>1691</v>
      </c>
      <c r="D14" s="404"/>
      <c r="E14" s="405" t="s">
        <v>1691</v>
      </c>
      <c r="F14" s="765" t="s">
        <v>1699</v>
      </c>
      <c r="G14" s="766"/>
      <c r="H14" s="772"/>
      <c r="I14" s="768" t="s">
        <v>1698</v>
      </c>
      <c r="J14" s="403" t="s">
        <v>1691</v>
      </c>
      <c r="K14" s="404"/>
      <c r="L14" s="405" t="s">
        <v>1691</v>
      </c>
      <c r="M14" s="765" t="s">
        <v>1699</v>
      </c>
      <c r="N14" s="766"/>
    </row>
    <row r="15" spans="1:14" ht="16" thickBot="1" x14ac:dyDescent="0.25">
      <c r="A15" s="772"/>
      <c r="B15" s="769"/>
      <c r="C15" s="403" t="s">
        <v>1694</v>
      </c>
      <c r="D15" s="404"/>
      <c r="E15" s="405" t="s">
        <v>1695</v>
      </c>
      <c r="F15" s="766"/>
      <c r="G15" s="766"/>
      <c r="H15" s="772"/>
      <c r="I15" s="769"/>
      <c r="J15" s="403" t="s">
        <v>1694</v>
      </c>
      <c r="K15" s="404"/>
      <c r="L15" s="405" t="s">
        <v>1695</v>
      </c>
      <c r="M15" s="766"/>
      <c r="N15" s="766"/>
    </row>
    <row r="16" spans="1:14" ht="16" thickBot="1" x14ac:dyDescent="0.25">
      <c r="A16" s="773"/>
      <c r="B16" s="770"/>
      <c r="C16" s="406" t="s">
        <v>1696</v>
      </c>
      <c r="D16" s="407"/>
      <c r="E16" s="408" t="s">
        <v>1697</v>
      </c>
      <c r="F16" s="767"/>
      <c r="G16" s="767"/>
      <c r="H16" s="773"/>
      <c r="I16" s="770"/>
      <c r="J16" s="406" t="s">
        <v>1696</v>
      </c>
      <c r="K16" s="407"/>
      <c r="L16" s="408" t="s">
        <v>1697</v>
      </c>
      <c r="M16" s="767"/>
      <c r="N16" s="767"/>
    </row>
    <row r="17" spans="1:14" ht="16" thickBot="1" x14ac:dyDescent="0.25">
      <c r="A17" s="771" t="s">
        <v>1898</v>
      </c>
      <c r="B17" s="768" t="s">
        <v>1690</v>
      </c>
      <c r="C17" s="403" t="s">
        <v>1691</v>
      </c>
      <c r="D17" s="404"/>
      <c r="E17" s="405" t="s">
        <v>1691</v>
      </c>
      <c r="F17" s="765" t="s">
        <v>1692</v>
      </c>
      <c r="G17" s="765" t="s">
        <v>1899</v>
      </c>
      <c r="H17" s="771" t="s">
        <v>1898</v>
      </c>
      <c r="I17" s="768" t="s">
        <v>1690</v>
      </c>
      <c r="J17" s="403" t="s">
        <v>1691</v>
      </c>
      <c r="K17" s="404"/>
      <c r="L17" s="405" t="s">
        <v>1691</v>
      </c>
      <c r="M17" s="765" t="s">
        <v>1692</v>
      </c>
      <c r="N17" s="765" t="s">
        <v>1899</v>
      </c>
    </row>
    <row r="18" spans="1:14" ht="16" thickBot="1" x14ac:dyDescent="0.25">
      <c r="A18" s="772"/>
      <c r="B18" s="769"/>
      <c r="C18" s="403" t="s">
        <v>1694</v>
      </c>
      <c r="D18" s="404"/>
      <c r="E18" s="405" t="s">
        <v>1695</v>
      </c>
      <c r="F18" s="766"/>
      <c r="G18" s="766"/>
      <c r="H18" s="772"/>
      <c r="I18" s="769"/>
      <c r="J18" s="403" t="s">
        <v>1694</v>
      </c>
      <c r="K18" s="404"/>
      <c r="L18" s="405" t="s">
        <v>1695</v>
      </c>
      <c r="M18" s="766"/>
      <c r="N18" s="766"/>
    </row>
    <row r="19" spans="1:14" ht="16" thickBot="1" x14ac:dyDescent="0.25">
      <c r="A19" s="772"/>
      <c r="B19" s="770"/>
      <c r="C19" s="406" t="s">
        <v>1696</v>
      </c>
      <c r="D19" s="407"/>
      <c r="E19" s="408" t="s">
        <v>1697</v>
      </c>
      <c r="F19" s="767"/>
      <c r="G19" s="766"/>
      <c r="H19" s="772"/>
      <c r="I19" s="770"/>
      <c r="J19" s="406" t="s">
        <v>1696</v>
      </c>
      <c r="K19" s="407"/>
      <c r="L19" s="408" t="s">
        <v>1697</v>
      </c>
      <c r="M19" s="767"/>
      <c r="N19" s="766"/>
    </row>
    <row r="20" spans="1:14" ht="16" thickBot="1" x14ac:dyDescent="0.25">
      <c r="A20" s="772"/>
      <c r="B20" s="768" t="s">
        <v>1698</v>
      </c>
      <c r="C20" s="403" t="s">
        <v>1691</v>
      </c>
      <c r="D20" s="404"/>
      <c r="E20" s="405" t="s">
        <v>1691</v>
      </c>
      <c r="F20" s="765" t="s">
        <v>1699</v>
      </c>
      <c r="G20" s="766"/>
      <c r="H20" s="772"/>
      <c r="I20" s="768" t="s">
        <v>1698</v>
      </c>
      <c r="J20" s="403" t="s">
        <v>1691</v>
      </c>
      <c r="K20" s="404"/>
      <c r="L20" s="405" t="s">
        <v>1691</v>
      </c>
      <c r="M20" s="765" t="s">
        <v>1699</v>
      </c>
      <c r="N20" s="766"/>
    </row>
    <row r="21" spans="1:14" ht="16" thickBot="1" x14ac:dyDescent="0.25">
      <c r="A21" s="772"/>
      <c r="B21" s="769"/>
      <c r="C21" s="403" t="s">
        <v>1694</v>
      </c>
      <c r="D21" s="404"/>
      <c r="E21" s="405" t="s">
        <v>1695</v>
      </c>
      <c r="F21" s="766"/>
      <c r="G21" s="766"/>
      <c r="H21" s="772"/>
      <c r="I21" s="769"/>
      <c r="J21" s="403" t="s">
        <v>1694</v>
      </c>
      <c r="K21" s="404"/>
      <c r="L21" s="405" t="s">
        <v>1695</v>
      </c>
      <c r="M21" s="766"/>
      <c r="N21" s="766"/>
    </row>
    <row r="22" spans="1:14" ht="16" thickBot="1" x14ac:dyDescent="0.25">
      <c r="A22" s="773"/>
      <c r="B22" s="770"/>
      <c r="C22" s="406" t="s">
        <v>1696</v>
      </c>
      <c r="D22" s="407"/>
      <c r="E22" s="408" t="s">
        <v>1697</v>
      </c>
      <c r="F22" s="767"/>
      <c r="G22" s="767"/>
      <c r="H22" s="773"/>
      <c r="I22" s="770"/>
      <c r="J22" s="406" t="s">
        <v>1696</v>
      </c>
      <c r="K22" s="407"/>
      <c r="L22" s="408" t="s">
        <v>1697</v>
      </c>
      <c r="M22" s="767"/>
      <c r="N22" s="767"/>
    </row>
    <row r="23" spans="1:14" ht="17.25" customHeight="1" x14ac:dyDescent="0.2">
      <c r="A23" s="761" t="s">
        <v>17</v>
      </c>
      <c r="B23" s="761"/>
      <c r="C23" s="761"/>
      <c r="D23" s="761"/>
      <c r="E23" s="761"/>
      <c r="F23" s="761"/>
      <c r="G23" s="761"/>
      <c r="H23" s="762" t="s">
        <v>104</v>
      </c>
      <c r="I23" s="762"/>
      <c r="J23" s="762"/>
      <c r="K23" s="762"/>
      <c r="L23" s="762"/>
      <c r="M23" s="762"/>
      <c r="N23" s="762"/>
    </row>
    <row r="24" spans="1:14" ht="17.25" customHeight="1" x14ac:dyDescent="0.2">
      <c r="A24" s="763" t="s">
        <v>781</v>
      </c>
      <c r="B24" s="763"/>
      <c r="C24" s="763"/>
      <c r="D24" s="764" t="s">
        <v>782</v>
      </c>
      <c r="E24" s="764"/>
      <c r="F24" s="764"/>
      <c r="G24" s="764"/>
      <c r="H24" s="763" t="s">
        <v>781</v>
      </c>
      <c r="I24" s="763"/>
      <c r="J24" s="763"/>
      <c r="K24" s="764" t="s">
        <v>782</v>
      </c>
      <c r="L24" s="764"/>
      <c r="M24" s="764"/>
      <c r="N24" s="764"/>
    </row>
    <row r="25" spans="1:14" ht="16" thickBot="1" x14ac:dyDescent="0.25">
      <c r="A25" s="409" t="s">
        <v>1894</v>
      </c>
      <c r="B25" s="403" t="s">
        <v>1702</v>
      </c>
      <c r="C25" s="406" t="s">
        <v>1696</v>
      </c>
      <c r="D25" s="407"/>
      <c r="E25" s="408" t="s">
        <v>1697</v>
      </c>
      <c r="F25" s="405" t="s">
        <v>1703</v>
      </c>
      <c r="G25" s="405" t="s">
        <v>1895</v>
      </c>
      <c r="H25" s="409" t="s">
        <v>1894</v>
      </c>
      <c r="I25" s="403" t="s">
        <v>1702</v>
      </c>
      <c r="J25" s="406" t="s">
        <v>1696</v>
      </c>
      <c r="K25" s="407"/>
      <c r="L25" s="408" t="s">
        <v>1697</v>
      </c>
      <c r="M25" s="405" t="s">
        <v>1703</v>
      </c>
      <c r="N25" s="405" t="s">
        <v>1895</v>
      </c>
    </row>
    <row r="26" spans="1:14" ht="16" thickBot="1" x14ac:dyDescent="0.25">
      <c r="A26" s="409" t="s">
        <v>1896</v>
      </c>
      <c r="B26" s="403" t="s">
        <v>1702</v>
      </c>
      <c r="C26" s="406" t="s">
        <v>1696</v>
      </c>
      <c r="D26" s="407"/>
      <c r="E26" s="408" t="s">
        <v>1697</v>
      </c>
      <c r="F26" s="405" t="s">
        <v>1703</v>
      </c>
      <c r="G26" s="405" t="s">
        <v>1897</v>
      </c>
      <c r="H26" s="409" t="s">
        <v>1896</v>
      </c>
      <c r="I26" s="403" t="s">
        <v>1702</v>
      </c>
      <c r="J26" s="406" t="s">
        <v>1696</v>
      </c>
      <c r="K26" s="407"/>
      <c r="L26" s="408" t="s">
        <v>1697</v>
      </c>
      <c r="M26" s="405" t="s">
        <v>1703</v>
      </c>
      <c r="N26" s="405" t="s">
        <v>1897</v>
      </c>
    </row>
    <row r="27" spans="1:14" ht="16" thickBot="1" x14ac:dyDescent="0.25">
      <c r="A27" s="409" t="s">
        <v>1898</v>
      </c>
      <c r="B27" s="403" t="s">
        <v>1702</v>
      </c>
      <c r="C27" s="406" t="s">
        <v>1696</v>
      </c>
      <c r="D27" s="407"/>
      <c r="E27" s="408" t="s">
        <v>1697</v>
      </c>
      <c r="F27" s="405" t="s">
        <v>1703</v>
      </c>
      <c r="G27" s="405" t="s">
        <v>1899</v>
      </c>
      <c r="H27" s="409" t="s">
        <v>1898</v>
      </c>
      <c r="I27" s="403" t="s">
        <v>1702</v>
      </c>
      <c r="J27" s="406" t="s">
        <v>1696</v>
      </c>
      <c r="K27" s="407"/>
      <c r="L27" s="408" t="s">
        <v>1697</v>
      </c>
      <c r="M27" s="405" t="s">
        <v>1703</v>
      </c>
      <c r="N27" s="405" t="s">
        <v>1899</v>
      </c>
    </row>
  </sheetData>
  <sheetProtection password="83AF" sheet="1" objects="1" scenarios="1"/>
  <mergeCells count="48">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A22"/>
    <mergeCell ref="B17:B19"/>
    <mergeCell ref="F17:F19"/>
    <mergeCell ref="G17:G22"/>
    <mergeCell ref="H17:H22"/>
    <mergeCell ref="M17:M19"/>
    <mergeCell ref="N17:N22"/>
    <mergeCell ref="B20:B22"/>
    <mergeCell ref="F20:F22"/>
    <mergeCell ref="I20:I22"/>
    <mergeCell ref="M20:M22"/>
    <mergeCell ref="I17:I19"/>
    <mergeCell ref="A23:G23"/>
    <mergeCell ref="H23:N23"/>
    <mergeCell ref="A24:C24"/>
    <mergeCell ref="D24:G24"/>
    <mergeCell ref="H24:J24"/>
    <mergeCell ref="K24:N2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baseColWidth="10" defaultColWidth="9.3984375" defaultRowHeight="15" x14ac:dyDescent="0.2"/>
  <cols>
    <col min="1" max="1" width="42.59765625" style="411" bestFit="1" customWidth="1" collapsed="1"/>
    <col min="2" max="2" width="34.3984375" style="411" customWidth="1" collapsed="1"/>
    <col min="3" max="3" width="30" style="411" customWidth="1" collapsed="1"/>
    <col min="4" max="4" width="29.19921875" style="411" bestFit="1" customWidth="1" collapsed="1"/>
    <col min="5" max="6" width="42.59765625" style="411" bestFit="1" customWidth="1" collapsed="1"/>
    <col min="7" max="7" width="34.3984375" style="411" customWidth="1" collapsed="1"/>
    <col min="8" max="8" width="30" style="411" customWidth="1" collapsed="1"/>
    <col min="9" max="9" width="29.19921875" style="411" bestFit="1" customWidth="1" collapsed="1"/>
    <col min="10" max="10" width="42.59765625" style="411" bestFit="1" customWidth="1" collapsed="1"/>
    <col min="11" max="16384" width="9.3984375" style="411" collapsed="1"/>
  </cols>
  <sheetData>
    <row r="1" spans="1:10" ht="18" x14ac:dyDescent="0.2">
      <c r="A1" s="410" t="s">
        <v>1900</v>
      </c>
    </row>
    <row r="3" spans="1:10" ht="17.25" customHeight="1" x14ac:dyDescent="0.2">
      <c r="A3" s="774" t="s">
        <v>17</v>
      </c>
      <c r="B3" s="774"/>
      <c r="C3" s="774"/>
      <c r="D3" s="774"/>
      <c r="E3" s="774"/>
      <c r="F3" s="775" t="s">
        <v>104</v>
      </c>
      <c r="G3" s="775"/>
      <c r="H3" s="775"/>
      <c r="I3" s="775"/>
      <c r="J3" s="775"/>
    </row>
    <row r="4" spans="1:10" ht="34.5" customHeight="1" x14ac:dyDescent="0.2">
      <c r="A4" s="774" t="s">
        <v>1901</v>
      </c>
      <c r="B4" s="774"/>
      <c r="C4" s="775" t="s">
        <v>1902</v>
      </c>
      <c r="D4" s="775"/>
      <c r="E4" s="775"/>
      <c r="F4" s="774" t="s">
        <v>1901</v>
      </c>
      <c r="G4" s="774"/>
      <c r="H4" s="775" t="s">
        <v>1902</v>
      </c>
      <c r="I4" s="775"/>
      <c r="J4" s="775"/>
    </row>
    <row r="5" spans="1:10" ht="16" thickBot="1" x14ac:dyDescent="0.25">
      <c r="A5" s="777" t="s">
        <v>1903</v>
      </c>
      <c r="B5" s="412" t="s">
        <v>1691</v>
      </c>
      <c r="C5" s="413"/>
      <c r="D5" s="414" t="s">
        <v>1691</v>
      </c>
      <c r="E5" s="780" t="s">
        <v>1904</v>
      </c>
      <c r="F5" s="777" t="s">
        <v>1903</v>
      </c>
      <c r="G5" s="412" t="s">
        <v>1691</v>
      </c>
      <c r="H5" s="413"/>
      <c r="I5" s="414" t="s">
        <v>1691</v>
      </c>
      <c r="J5" s="780" t="s">
        <v>1904</v>
      </c>
    </row>
    <row r="6" spans="1:10" ht="16" thickBot="1" x14ac:dyDescent="0.25">
      <c r="A6" s="777"/>
      <c r="B6" s="412" t="s">
        <v>1694</v>
      </c>
      <c r="C6" s="413"/>
      <c r="D6" s="414" t="s">
        <v>1695</v>
      </c>
      <c r="E6" s="780"/>
      <c r="F6" s="777"/>
      <c r="G6" s="412" t="s">
        <v>1694</v>
      </c>
      <c r="H6" s="413"/>
      <c r="I6" s="414" t="s">
        <v>1695</v>
      </c>
      <c r="J6" s="780"/>
    </row>
    <row r="7" spans="1:10" ht="16" thickBot="1" x14ac:dyDescent="0.25">
      <c r="A7" s="778"/>
      <c r="B7" s="415" t="s">
        <v>1696</v>
      </c>
      <c r="C7" s="416"/>
      <c r="D7" s="417" t="s">
        <v>1697</v>
      </c>
      <c r="E7" s="781"/>
      <c r="F7" s="778"/>
      <c r="G7" s="415" t="s">
        <v>1696</v>
      </c>
      <c r="H7" s="416"/>
      <c r="I7" s="417" t="s">
        <v>1697</v>
      </c>
      <c r="J7" s="781"/>
    </row>
    <row r="8" spans="1:10" ht="16" thickBot="1" x14ac:dyDescent="0.25">
      <c r="A8" s="776" t="s">
        <v>1905</v>
      </c>
      <c r="B8" s="412" t="s">
        <v>1691</v>
      </c>
      <c r="C8" s="413"/>
      <c r="D8" s="414" t="s">
        <v>1691</v>
      </c>
      <c r="E8" s="779" t="s">
        <v>1906</v>
      </c>
      <c r="F8" s="776" t="s">
        <v>1905</v>
      </c>
      <c r="G8" s="412" t="s">
        <v>1691</v>
      </c>
      <c r="H8" s="413"/>
      <c r="I8" s="414" t="s">
        <v>1691</v>
      </c>
      <c r="J8" s="779" t="s">
        <v>1906</v>
      </c>
    </row>
    <row r="9" spans="1:10" ht="16" thickBot="1" x14ac:dyDescent="0.25">
      <c r="A9" s="777"/>
      <c r="B9" s="412" t="s">
        <v>1694</v>
      </c>
      <c r="C9" s="413"/>
      <c r="D9" s="414" t="s">
        <v>1695</v>
      </c>
      <c r="E9" s="780"/>
      <c r="F9" s="777"/>
      <c r="G9" s="412" t="s">
        <v>1694</v>
      </c>
      <c r="H9" s="413"/>
      <c r="I9" s="414" t="s">
        <v>1695</v>
      </c>
      <c r="J9" s="780"/>
    </row>
    <row r="10" spans="1:10" ht="16" thickBot="1" x14ac:dyDescent="0.25">
      <c r="A10" s="778"/>
      <c r="B10" s="415" t="s">
        <v>1696</v>
      </c>
      <c r="C10" s="416"/>
      <c r="D10" s="417" t="s">
        <v>1697</v>
      </c>
      <c r="E10" s="781"/>
      <c r="F10" s="778"/>
      <c r="G10" s="415" t="s">
        <v>1696</v>
      </c>
      <c r="H10" s="416"/>
      <c r="I10" s="417" t="s">
        <v>1697</v>
      </c>
      <c r="J10" s="781"/>
    </row>
    <row r="11" spans="1:10" ht="16" thickBot="1" x14ac:dyDescent="0.25">
      <c r="A11" s="776" t="s">
        <v>1907</v>
      </c>
      <c r="B11" s="412" t="s">
        <v>1691</v>
      </c>
      <c r="C11" s="413"/>
      <c r="D11" s="414" t="s">
        <v>1691</v>
      </c>
      <c r="E11" s="779" t="s">
        <v>1908</v>
      </c>
      <c r="F11" s="776" t="s">
        <v>1907</v>
      </c>
      <c r="G11" s="412" t="s">
        <v>1691</v>
      </c>
      <c r="H11" s="413"/>
      <c r="I11" s="414" t="s">
        <v>1691</v>
      </c>
      <c r="J11" s="779" t="s">
        <v>1908</v>
      </c>
    </row>
    <row r="12" spans="1:10" ht="16" thickBot="1" x14ac:dyDescent="0.25">
      <c r="A12" s="777"/>
      <c r="B12" s="412" t="s">
        <v>1694</v>
      </c>
      <c r="C12" s="413"/>
      <c r="D12" s="414" t="s">
        <v>1695</v>
      </c>
      <c r="E12" s="780"/>
      <c r="F12" s="777"/>
      <c r="G12" s="412" t="s">
        <v>1694</v>
      </c>
      <c r="H12" s="413"/>
      <c r="I12" s="414" t="s">
        <v>1695</v>
      </c>
      <c r="J12" s="780"/>
    </row>
    <row r="13" spans="1:10" ht="16" thickBot="1" x14ac:dyDescent="0.25">
      <c r="A13" s="778"/>
      <c r="B13" s="415" t="s">
        <v>1696</v>
      </c>
      <c r="C13" s="416"/>
      <c r="D13" s="417" t="s">
        <v>1697</v>
      </c>
      <c r="E13" s="781"/>
      <c r="F13" s="778"/>
      <c r="G13" s="415" t="s">
        <v>1696</v>
      </c>
      <c r="H13" s="416"/>
      <c r="I13" s="417" t="s">
        <v>1697</v>
      </c>
      <c r="J13" s="781"/>
    </row>
  </sheetData>
  <sheetProtection password="83AF" sheet="1" objects="1" scenarios="1"/>
  <mergeCells count="18">
    <mergeCell ref="A11:A13"/>
    <mergeCell ref="E11:E13"/>
    <mergeCell ref="F11:F13"/>
    <mergeCell ref="J11:J13"/>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baseColWidth="10" defaultColWidth="9.3984375" defaultRowHeight="15" x14ac:dyDescent="0.2"/>
  <cols>
    <col min="1" max="1" width="42.59765625" style="418" bestFit="1" customWidth="1" collapsed="1"/>
    <col min="2" max="2" width="33.3984375" style="418" customWidth="1" collapsed="1"/>
    <col min="3" max="3" width="42.59765625" style="418" bestFit="1" customWidth="1" collapsed="1"/>
    <col min="4" max="16384" width="9.3984375" style="418" collapsed="1"/>
  </cols>
  <sheetData>
    <row r="1" spans="1:3" ht="34.5" customHeight="1" x14ac:dyDescent="0.2">
      <c r="A1" s="782" t="s">
        <v>1909</v>
      </c>
      <c r="B1" s="783"/>
      <c r="C1" s="783"/>
    </row>
    <row r="3" spans="1:3" ht="17.25" customHeight="1" x14ac:dyDescent="0.2">
      <c r="A3" s="419" t="s">
        <v>1680</v>
      </c>
      <c r="B3" s="784" t="s">
        <v>1681</v>
      </c>
      <c r="C3" s="784"/>
    </row>
    <row r="4" spans="1:3" x14ac:dyDescent="0.2">
      <c r="A4" s="420"/>
      <c r="B4" s="421" t="s">
        <v>102</v>
      </c>
    </row>
    <row r="5" spans="1:3" ht="16" thickBot="1" x14ac:dyDescent="0.25">
      <c r="A5" s="422" t="s">
        <v>1680</v>
      </c>
      <c r="B5" s="423"/>
      <c r="C5" s="424" t="s">
        <v>1681</v>
      </c>
    </row>
    <row r="6" spans="1:3" ht="75" customHeight="1" thickBot="1" x14ac:dyDescent="0.25">
      <c r="A6" s="425" t="s">
        <v>1910</v>
      </c>
      <c r="B6" s="426"/>
      <c r="C6" s="427"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baseColWidth="10" defaultColWidth="9.3984375" defaultRowHeight="15" x14ac:dyDescent="0.2"/>
  <cols>
    <col min="1" max="1" width="42.59765625" style="429" bestFit="1" customWidth="1" collapsed="1"/>
    <col min="2" max="3" width="33.3984375" style="429" customWidth="1" collapsed="1"/>
    <col min="4" max="4" width="42.59765625" style="429" bestFit="1" customWidth="1" collapsed="1"/>
    <col min="5" max="16384" width="9.3984375" style="429" collapsed="1"/>
  </cols>
  <sheetData>
    <row r="1" spans="1:4" ht="18" x14ac:dyDescent="0.2">
      <c r="A1" s="428" t="s">
        <v>1912</v>
      </c>
    </row>
    <row r="3" spans="1:4" ht="17.25" customHeight="1" x14ac:dyDescent="0.2">
      <c r="A3" s="785" t="s">
        <v>1913</v>
      </c>
      <c r="B3" s="785"/>
      <c r="C3" s="786" t="s">
        <v>1914</v>
      </c>
      <c r="D3" s="786"/>
    </row>
    <row r="4" spans="1:4" x14ac:dyDescent="0.2">
      <c r="A4" s="430"/>
      <c r="B4" s="431" t="s">
        <v>102</v>
      </c>
      <c r="C4" s="431" t="s">
        <v>105</v>
      </c>
    </row>
    <row r="5" spans="1:4" ht="16" thickBot="1" x14ac:dyDescent="0.25">
      <c r="A5" s="432" t="s">
        <v>1913</v>
      </c>
      <c r="B5" s="433"/>
      <c r="C5" s="433"/>
      <c r="D5" s="434" t="s">
        <v>1914</v>
      </c>
    </row>
    <row r="6" spans="1:4" ht="16" thickBot="1" x14ac:dyDescent="0.25">
      <c r="A6" s="435" t="s">
        <v>881</v>
      </c>
      <c r="B6" s="433"/>
      <c r="C6" s="433"/>
      <c r="D6" s="434" t="s">
        <v>882</v>
      </c>
    </row>
    <row r="7" spans="1:4" ht="16" thickBot="1" x14ac:dyDescent="0.25">
      <c r="A7" s="436" t="s">
        <v>1915</v>
      </c>
      <c r="B7" s="437">
        <v>67446394</v>
      </c>
      <c r="C7" s="437">
        <v>63092902</v>
      </c>
      <c r="D7" s="438" t="s">
        <v>1916</v>
      </c>
    </row>
    <row r="8" spans="1:4" ht="16" thickBot="1" x14ac:dyDescent="0.25">
      <c r="A8" s="436" t="s">
        <v>595</v>
      </c>
      <c r="B8" s="437"/>
      <c r="C8" s="437"/>
      <c r="D8" s="438" t="s">
        <v>1917</v>
      </c>
    </row>
    <row r="9" spans="1:4" ht="29" thickBot="1" x14ac:dyDescent="0.25">
      <c r="A9" s="436" t="s">
        <v>1918</v>
      </c>
      <c r="B9" s="437">
        <v>3625497</v>
      </c>
      <c r="C9" s="437">
        <v>3594918</v>
      </c>
      <c r="D9" s="438" t="s">
        <v>1919</v>
      </c>
    </row>
    <row r="10" spans="1:4" ht="16" thickBot="1" x14ac:dyDescent="0.25">
      <c r="A10" s="436" t="s">
        <v>1499</v>
      </c>
      <c r="B10" s="437">
        <v>25417176</v>
      </c>
      <c r="C10" s="437">
        <v>25492684</v>
      </c>
      <c r="D10" s="438" t="s">
        <v>1920</v>
      </c>
    </row>
    <row r="11" spans="1:4" ht="29" thickBot="1" x14ac:dyDescent="0.25">
      <c r="A11" s="436" t="s">
        <v>433</v>
      </c>
      <c r="B11" s="437">
        <v>633824</v>
      </c>
      <c r="C11" s="437">
        <v>711706</v>
      </c>
      <c r="D11" s="438" t="s">
        <v>1921</v>
      </c>
    </row>
    <row r="12" spans="1:4" ht="16" thickBot="1" x14ac:dyDescent="0.25">
      <c r="A12" s="436" t="s">
        <v>1795</v>
      </c>
      <c r="B12" s="437">
        <v>841487</v>
      </c>
      <c r="C12" s="437">
        <v>1099139</v>
      </c>
      <c r="D12" s="438" t="s">
        <v>1922</v>
      </c>
    </row>
    <row r="13" spans="1:4" ht="16" thickBot="1" x14ac:dyDescent="0.25">
      <c r="A13" s="439" t="s">
        <v>1923</v>
      </c>
      <c r="B13" s="440">
        <v>97964378</v>
      </c>
      <c r="C13" s="440">
        <v>93991349</v>
      </c>
      <c r="D13" s="434" t="s">
        <v>1924</v>
      </c>
    </row>
    <row r="14" spans="1:4" ht="43" thickBot="1" x14ac:dyDescent="0.25">
      <c r="A14" s="435" t="s">
        <v>1925</v>
      </c>
      <c r="B14" s="433"/>
      <c r="C14" s="433"/>
      <c r="D14" s="434" t="s">
        <v>1926</v>
      </c>
    </row>
    <row r="15" spans="1:4" ht="29" thickBot="1" x14ac:dyDescent="0.25">
      <c r="A15" s="436" t="s">
        <v>1927</v>
      </c>
      <c r="B15" s="437">
        <v>0</v>
      </c>
      <c r="C15" s="437">
        <v>0</v>
      </c>
      <c r="D15" s="438" t="s">
        <v>1928</v>
      </c>
    </row>
    <row r="16" spans="1:4" ht="16" thickBot="1" x14ac:dyDescent="0.25">
      <c r="A16" s="436" t="s">
        <v>1929</v>
      </c>
      <c r="B16" s="437">
        <v>0</v>
      </c>
      <c r="C16" s="437">
        <v>0</v>
      </c>
      <c r="D16" s="438" t="s">
        <v>1930</v>
      </c>
    </row>
    <row r="17" spans="1:4" ht="16" thickBot="1" x14ac:dyDescent="0.25">
      <c r="A17" s="436" t="s">
        <v>1931</v>
      </c>
      <c r="B17" s="437">
        <v>0</v>
      </c>
      <c r="C17" s="437">
        <v>0</v>
      </c>
      <c r="D17" s="438" t="s">
        <v>1932</v>
      </c>
    </row>
    <row r="18" spans="1:4" ht="16" thickBot="1" x14ac:dyDescent="0.25">
      <c r="A18" s="436" t="s">
        <v>1933</v>
      </c>
      <c r="B18" s="437">
        <v>0</v>
      </c>
      <c r="C18" s="437">
        <v>0</v>
      </c>
      <c r="D18" s="438" t="s">
        <v>1934</v>
      </c>
    </row>
    <row r="19" spans="1:4" ht="16" thickBot="1" x14ac:dyDescent="0.25">
      <c r="A19" s="436" t="s">
        <v>1935</v>
      </c>
      <c r="B19" s="437">
        <v>0</v>
      </c>
      <c r="C19" s="437">
        <v>0</v>
      </c>
      <c r="D19" s="438" t="s">
        <v>1936</v>
      </c>
    </row>
    <row r="20" spans="1:4" ht="16" thickBot="1" x14ac:dyDescent="0.25">
      <c r="A20" s="436" t="s">
        <v>1795</v>
      </c>
      <c r="B20" s="437">
        <v>948274</v>
      </c>
      <c r="C20" s="437">
        <v>805105</v>
      </c>
      <c r="D20" s="438" t="s">
        <v>1937</v>
      </c>
    </row>
    <row r="21" spans="1:4" ht="43" thickBot="1" x14ac:dyDescent="0.25">
      <c r="A21" s="439" t="s">
        <v>1938</v>
      </c>
      <c r="B21" s="440">
        <v>948274</v>
      </c>
      <c r="C21" s="440">
        <v>805105</v>
      </c>
      <c r="D21" s="434" t="s">
        <v>1939</v>
      </c>
    </row>
    <row r="22" spans="1:4" ht="16" thickBot="1" x14ac:dyDescent="0.25">
      <c r="A22" s="435" t="s">
        <v>1940</v>
      </c>
      <c r="B22" s="440">
        <v>98912652</v>
      </c>
      <c r="C22" s="440">
        <v>94796454</v>
      </c>
      <c r="D22" s="434"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baseColWidth="10" defaultColWidth="9.3984375" defaultRowHeight="15" x14ac:dyDescent="0.2"/>
  <cols>
    <col min="1" max="1" width="42.59765625" style="441" bestFit="1" customWidth="1" collapsed="1"/>
    <col min="2" max="2" width="33.3984375" style="441" customWidth="1" collapsed="1"/>
    <col min="3" max="3" width="40.796875" style="441" bestFit="1" customWidth="1" collapsed="1"/>
    <col min="4" max="16384" width="9.3984375" style="441" collapsed="1"/>
  </cols>
  <sheetData>
    <row r="1" spans="1:3" ht="34.5" customHeight="1" x14ac:dyDescent="0.2">
      <c r="A1" s="787" t="s">
        <v>1942</v>
      </c>
      <c r="B1" s="788"/>
      <c r="C1" s="788"/>
    </row>
    <row r="3" spans="1:3" ht="17.25" customHeight="1" x14ac:dyDescent="0.2">
      <c r="A3" s="442" t="s">
        <v>1680</v>
      </c>
      <c r="B3" s="789" t="s">
        <v>1681</v>
      </c>
      <c r="C3" s="789"/>
    </row>
    <row r="4" spans="1:3" x14ac:dyDescent="0.2">
      <c r="A4" s="443"/>
      <c r="B4" s="444" t="s">
        <v>102</v>
      </c>
    </row>
    <row r="5" spans="1:3" ht="16" thickBot="1" x14ac:dyDescent="0.25">
      <c r="A5" s="445" t="s">
        <v>1680</v>
      </c>
      <c r="B5" s="446"/>
      <c r="C5" s="447" t="s">
        <v>1681</v>
      </c>
    </row>
    <row r="6" spans="1:3" ht="75" customHeight="1" thickBot="1" x14ac:dyDescent="0.25">
      <c r="A6" s="448" t="s">
        <v>1943</v>
      </c>
      <c r="B6" s="449" t="s">
        <v>2152</v>
      </c>
      <c r="C6" s="450"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baseColWidth="10" defaultColWidth="9.3984375" defaultRowHeight="15" x14ac:dyDescent="0.2"/>
  <cols>
    <col min="1" max="1" width="42.59765625" style="451" bestFit="1" customWidth="1" collapsed="1"/>
    <col min="2" max="3" width="33.3984375" style="451" customWidth="1" collapsed="1"/>
    <col min="4" max="4" width="42.59765625" style="451" bestFit="1" customWidth="1" collapsed="1"/>
    <col min="5" max="16384" width="9.3984375" style="451" collapsed="1"/>
  </cols>
  <sheetData>
    <row r="1" spans="1:4" ht="17.25" customHeight="1" x14ac:dyDescent="0.2">
      <c r="A1" s="790" t="s">
        <v>1945</v>
      </c>
      <c r="B1" s="791"/>
      <c r="C1" s="791"/>
      <c r="D1" s="791"/>
    </row>
    <row r="3" spans="1:4" ht="17.25" customHeight="1" x14ac:dyDescent="0.2">
      <c r="A3" s="790" t="s">
        <v>1946</v>
      </c>
      <c r="B3" s="790"/>
      <c r="C3" s="792" t="s">
        <v>1947</v>
      </c>
      <c r="D3" s="792"/>
    </row>
    <row r="4" spans="1:4" x14ac:dyDescent="0.2">
      <c r="A4" s="452"/>
      <c r="B4" s="453" t="s">
        <v>102</v>
      </c>
      <c r="C4" s="453" t="s">
        <v>105</v>
      </c>
    </row>
    <row r="5" spans="1:4" ht="16" thickBot="1" x14ac:dyDescent="0.25">
      <c r="A5" s="454" t="s">
        <v>1946</v>
      </c>
      <c r="B5" s="455"/>
      <c r="C5" s="455"/>
      <c r="D5" s="456" t="s">
        <v>1947</v>
      </c>
    </row>
    <row r="6" spans="1:4" ht="16" thickBot="1" x14ac:dyDescent="0.25">
      <c r="A6" s="457" t="s">
        <v>883</v>
      </c>
      <c r="B6" s="455"/>
      <c r="C6" s="455"/>
      <c r="D6" s="456" t="s">
        <v>1948</v>
      </c>
    </row>
    <row r="7" spans="1:4" ht="16" thickBot="1" x14ac:dyDescent="0.25">
      <c r="A7" s="458" t="s">
        <v>680</v>
      </c>
      <c r="B7" s="459">
        <v>5876759</v>
      </c>
      <c r="C7" s="459">
        <v>6290022</v>
      </c>
      <c r="D7" s="460" t="s">
        <v>1949</v>
      </c>
    </row>
    <row r="8" spans="1:4" ht="16" thickBot="1" x14ac:dyDescent="0.25">
      <c r="A8" s="458" t="s">
        <v>668</v>
      </c>
      <c r="B8" s="459">
        <v>583896</v>
      </c>
      <c r="C8" s="459">
        <v>462943</v>
      </c>
      <c r="D8" s="460" t="s">
        <v>1950</v>
      </c>
    </row>
    <row r="9" spans="1:4" ht="16" thickBot="1" x14ac:dyDescent="0.25">
      <c r="A9" s="458" t="s">
        <v>728</v>
      </c>
      <c r="B9" s="459">
        <v>82708</v>
      </c>
      <c r="C9" s="459">
        <v>87713</v>
      </c>
      <c r="D9" s="460" t="s">
        <v>1951</v>
      </c>
    </row>
    <row r="10" spans="1:4" ht="16" thickBot="1" x14ac:dyDescent="0.25">
      <c r="A10" s="458" t="s">
        <v>1952</v>
      </c>
      <c r="B10" s="459">
        <v>2386381</v>
      </c>
      <c r="C10" s="459">
        <v>2251915</v>
      </c>
      <c r="D10" s="460" t="s">
        <v>1953</v>
      </c>
    </row>
    <row r="11" spans="1:4" ht="16" thickBot="1" x14ac:dyDescent="0.25">
      <c r="A11" s="458" t="s">
        <v>656</v>
      </c>
      <c r="B11" s="459">
        <v>3685331</v>
      </c>
      <c r="C11" s="459">
        <v>2833917</v>
      </c>
      <c r="D11" s="460" t="s">
        <v>1954</v>
      </c>
    </row>
    <row r="12" spans="1:4" ht="16" thickBot="1" x14ac:dyDescent="0.25">
      <c r="A12" s="458" t="s">
        <v>1955</v>
      </c>
      <c r="B12" s="459">
        <v>22431</v>
      </c>
      <c r="C12" s="459">
        <v>38913</v>
      </c>
      <c r="D12" s="460" t="s">
        <v>1956</v>
      </c>
    </row>
    <row r="13" spans="1:4" ht="16" thickBot="1" x14ac:dyDescent="0.25">
      <c r="A13" s="458" t="s">
        <v>1957</v>
      </c>
      <c r="B13" s="459"/>
      <c r="C13" s="459"/>
      <c r="D13" s="460" t="s">
        <v>1958</v>
      </c>
    </row>
    <row r="14" spans="1:4" ht="16" thickBot="1" x14ac:dyDescent="0.25">
      <c r="A14" s="458" t="s">
        <v>1795</v>
      </c>
      <c r="B14" s="459">
        <v>204336</v>
      </c>
      <c r="C14" s="459">
        <v>171757</v>
      </c>
      <c r="D14" s="460" t="s">
        <v>1959</v>
      </c>
    </row>
    <row r="15" spans="1:4" ht="16" thickBot="1" x14ac:dyDescent="0.25">
      <c r="A15" s="461" t="s">
        <v>1960</v>
      </c>
      <c r="B15" s="462">
        <v>12841842</v>
      </c>
      <c r="C15" s="462">
        <v>12137180</v>
      </c>
      <c r="D15" s="456" t="s">
        <v>1961</v>
      </c>
    </row>
    <row r="16" spans="1:4" ht="29" thickBot="1" x14ac:dyDescent="0.25">
      <c r="A16" s="457" t="s">
        <v>1962</v>
      </c>
      <c r="B16" s="455"/>
      <c r="C16" s="455"/>
      <c r="D16" s="456" t="s">
        <v>1963</v>
      </c>
    </row>
    <row r="17" spans="1:4" ht="16" thickBot="1" x14ac:dyDescent="0.25">
      <c r="A17" s="458" t="s">
        <v>1964</v>
      </c>
      <c r="B17" s="459"/>
      <c r="C17" s="459"/>
      <c r="D17" s="460" t="s">
        <v>1965</v>
      </c>
    </row>
    <row r="18" spans="1:4" ht="16" thickBot="1" x14ac:dyDescent="0.25">
      <c r="A18" s="458" t="s">
        <v>1966</v>
      </c>
      <c r="B18" s="459"/>
      <c r="C18" s="459"/>
      <c r="D18" s="460" t="s">
        <v>1967</v>
      </c>
    </row>
    <row r="19" spans="1:4" ht="16" thickBot="1" x14ac:dyDescent="0.25">
      <c r="A19" s="458" t="s">
        <v>1968</v>
      </c>
      <c r="B19" s="459"/>
      <c r="C19" s="459"/>
      <c r="D19" s="460" t="s">
        <v>1969</v>
      </c>
    </row>
    <row r="20" spans="1:4" ht="16" thickBot="1" x14ac:dyDescent="0.25">
      <c r="A20" s="458" t="s">
        <v>1970</v>
      </c>
      <c r="B20" s="459"/>
      <c r="C20" s="459"/>
      <c r="D20" s="460" t="s">
        <v>1971</v>
      </c>
    </row>
    <row r="21" spans="1:4" ht="16" thickBot="1" x14ac:dyDescent="0.25">
      <c r="A21" s="458" t="s">
        <v>1972</v>
      </c>
      <c r="B21" s="459"/>
      <c r="C21" s="459"/>
      <c r="D21" s="460" t="s">
        <v>1973</v>
      </c>
    </row>
    <row r="22" spans="1:4" ht="29" thickBot="1" x14ac:dyDescent="0.25">
      <c r="A22" s="458" t="s">
        <v>1974</v>
      </c>
      <c r="B22" s="459"/>
      <c r="C22" s="459"/>
      <c r="D22" s="460" t="s">
        <v>1975</v>
      </c>
    </row>
    <row r="23" spans="1:4" ht="29" thickBot="1" x14ac:dyDescent="0.25">
      <c r="A23" s="458" t="s">
        <v>1976</v>
      </c>
      <c r="B23" s="459"/>
      <c r="C23" s="459"/>
      <c r="D23" s="460" t="s">
        <v>1977</v>
      </c>
    </row>
    <row r="24" spans="1:4" ht="16" thickBot="1" x14ac:dyDescent="0.25">
      <c r="A24" s="458" t="s">
        <v>740</v>
      </c>
      <c r="B24" s="459"/>
      <c r="C24" s="459"/>
      <c r="D24" s="460" t="s">
        <v>1978</v>
      </c>
    </row>
    <row r="25" spans="1:4" ht="16" thickBot="1" x14ac:dyDescent="0.25">
      <c r="A25" s="458" t="s">
        <v>505</v>
      </c>
      <c r="B25" s="459"/>
      <c r="C25" s="459"/>
      <c r="D25" s="460" t="s">
        <v>1979</v>
      </c>
    </row>
    <row r="26" spans="1:4" ht="16" thickBot="1" x14ac:dyDescent="0.25">
      <c r="A26" s="458" t="s">
        <v>537</v>
      </c>
      <c r="B26" s="459"/>
      <c r="C26" s="459"/>
      <c r="D26" s="460" t="s">
        <v>1980</v>
      </c>
    </row>
    <row r="27" spans="1:4" ht="16" thickBot="1" x14ac:dyDescent="0.25">
      <c r="A27" s="458" t="s">
        <v>1795</v>
      </c>
      <c r="B27" s="459">
        <v>522653</v>
      </c>
      <c r="C27" s="459">
        <v>395110</v>
      </c>
      <c r="D27" s="460" t="s">
        <v>1981</v>
      </c>
    </row>
    <row r="28" spans="1:4" ht="43" thickBot="1" x14ac:dyDescent="0.25">
      <c r="A28" s="461" t="s">
        <v>1982</v>
      </c>
      <c r="B28" s="462">
        <v>522653</v>
      </c>
      <c r="C28" s="462">
        <v>395110</v>
      </c>
      <c r="D28" s="456" t="s">
        <v>1983</v>
      </c>
    </row>
    <row r="29" spans="1:4" ht="16" thickBot="1" x14ac:dyDescent="0.25">
      <c r="A29" s="457" t="s">
        <v>1984</v>
      </c>
      <c r="B29" s="462">
        <v>13364495</v>
      </c>
      <c r="C29" s="462">
        <v>12532290</v>
      </c>
      <c r="D29" s="456"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baseColWidth="10" defaultColWidth="9.3984375" defaultRowHeight="15" x14ac:dyDescent="0.2"/>
  <cols>
    <col min="1" max="1" width="42.59765625" style="463" bestFit="1" customWidth="1" collapsed="1"/>
    <col min="2" max="2" width="33.3984375" style="463" customWidth="1" collapsed="1"/>
    <col min="3" max="3" width="40.3984375" style="463" bestFit="1" customWidth="1" collapsed="1"/>
    <col min="4" max="16384" width="9.3984375" style="463" collapsed="1"/>
  </cols>
  <sheetData>
    <row r="1" spans="1:3" ht="34.5" customHeight="1" x14ac:dyDescent="0.2">
      <c r="A1" s="793" t="s">
        <v>1986</v>
      </c>
      <c r="B1" s="794"/>
      <c r="C1" s="794"/>
    </row>
    <row r="3" spans="1:3" ht="17.25" customHeight="1" x14ac:dyDescent="0.2">
      <c r="A3" s="464" t="s">
        <v>1680</v>
      </c>
      <c r="B3" s="795" t="s">
        <v>1681</v>
      </c>
      <c r="C3" s="795"/>
    </row>
    <row r="4" spans="1:3" x14ac:dyDescent="0.2">
      <c r="A4" s="465"/>
      <c r="B4" s="466" t="s">
        <v>102</v>
      </c>
    </row>
    <row r="5" spans="1:3" ht="16" thickBot="1" x14ac:dyDescent="0.25">
      <c r="A5" s="467" t="s">
        <v>1680</v>
      </c>
      <c r="B5" s="468"/>
      <c r="C5" s="469" t="s">
        <v>1681</v>
      </c>
    </row>
    <row r="6" spans="1:3" ht="75" customHeight="1" thickBot="1" x14ac:dyDescent="0.25">
      <c r="A6" s="470" t="s">
        <v>1987</v>
      </c>
      <c r="B6" s="471" t="s">
        <v>2163</v>
      </c>
      <c r="C6" s="472"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baseColWidth="10" defaultColWidth="9.3984375" defaultRowHeight="15" x14ac:dyDescent="0.2"/>
  <cols>
    <col min="1" max="1" width="42.59765625" style="474" bestFit="1" customWidth="1" collapsed="1"/>
    <col min="2" max="3" width="30" style="474" bestFit="1" customWidth="1" collapsed="1"/>
    <col min="4" max="4" width="42.59765625" style="474" bestFit="1" customWidth="1" collapsed="1"/>
    <col min="5" max="8" width="30" style="474" bestFit="1" customWidth="1" collapsed="1"/>
    <col min="9" max="9" width="15.3984375" style="474" bestFit="1" customWidth="1" collapsed="1"/>
    <col min="10" max="10" width="18" style="474" bestFit="1" customWidth="1" collapsed="1"/>
    <col min="11" max="17" width="30" style="474" bestFit="1" customWidth="1" collapsed="1"/>
    <col min="18" max="18" width="15.3984375" style="474" bestFit="1" customWidth="1" collapsed="1"/>
    <col min="19" max="16384" width="9.3984375" style="474" collapsed="1"/>
  </cols>
  <sheetData>
    <row r="1" spans="1:18" ht="18" x14ac:dyDescent="0.2">
      <c r="A1" s="473" t="s">
        <v>1989</v>
      </c>
    </row>
    <row r="3" spans="1:18" ht="17.25" customHeight="1" x14ac:dyDescent="0.2">
      <c r="A3" s="796" t="s">
        <v>17</v>
      </c>
      <c r="B3" s="796"/>
      <c r="C3" s="796"/>
      <c r="D3" s="796"/>
      <c r="E3" s="796"/>
      <c r="F3" s="796"/>
      <c r="G3" s="796"/>
      <c r="H3" s="796"/>
      <c r="I3" s="796"/>
      <c r="J3" s="797" t="s">
        <v>104</v>
      </c>
      <c r="K3" s="797"/>
      <c r="L3" s="797"/>
      <c r="M3" s="797"/>
      <c r="N3" s="797"/>
      <c r="O3" s="797"/>
      <c r="P3" s="797"/>
      <c r="Q3" s="797"/>
      <c r="R3" s="797"/>
    </row>
    <row r="4" spans="1:18" ht="17.25" customHeight="1" x14ac:dyDescent="0.2">
      <c r="A4" s="796" t="s">
        <v>1990</v>
      </c>
      <c r="B4" s="796"/>
      <c r="C4" s="796"/>
      <c r="D4" s="796"/>
      <c r="E4" s="797" t="s">
        <v>1991</v>
      </c>
      <c r="F4" s="797"/>
      <c r="G4" s="797"/>
      <c r="H4" s="797"/>
      <c r="I4" s="797"/>
      <c r="J4" s="796" t="s">
        <v>1990</v>
      </c>
      <c r="K4" s="796"/>
      <c r="L4" s="796"/>
      <c r="M4" s="796"/>
      <c r="N4" s="797" t="s">
        <v>1991</v>
      </c>
      <c r="O4" s="797"/>
      <c r="P4" s="797"/>
      <c r="Q4" s="797"/>
      <c r="R4" s="797"/>
    </row>
    <row r="5" spans="1:18" ht="25" x14ac:dyDescent="0.2">
      <c r="A5" s="798"/>
      <c r="B5" s="475" t="s">
        <v>1992</v>
      </c>
      <c r="C5" s="475" t="s">
        <v>1993</v>
      </c>
      <c r="D5" s="475" t="s">
        <v>1994</v>
      </c>
      <c r="E5" s="475" t="s">
        <v>1995</v>
      </c>
      <c r="F5" s="475" t="s">
        <v>1996</v>
      </c>
      <c r="G5" s="475" t="s">
        <v>1997</v>
      </c>
      <c r="H5" s="475" t="s">
        <v>1998</v>
      </c>
      <c r="I5" s="798"/>
      <c r="J5" s="798"/>
      <c r="K5" s="475" t="s">
        <v>1992</v>
      </c>
      <c r="L5" s="475" t="s">
        <v>1993</v>
      </c>
      <c r="M5" s="475" t="s">
        <v>1994</v>
      </c>
      <c r="N5" s="475" t="s">
        <v>1995</v>
      </c>
      <c r="O5" s="475" t="s">
        <v>1996</v>
      </c>
      <c r="P5" s="475" t="s">
        <v>1997</v>
      </c>
      <c r="Q5" s="475" t="s">
        <v>1998</v>
      </c>
      <c r="R5" s="798"/>
    </row>
    <row r="6" spans="1:18" ht="29" x14ac:dyDescent="0.2">
      <c r="A6" s="798"/>
      <c r="B6" s="476" t="s">
        <v>1999</v>
      </c>
      <c r="C6" s="476" t="s">
        <v>2000</v>
      </c>
      <c r="D6" s="476" t="s">
        <v>2001</v>
      </c>
      <c r="E6" s="476" t="s">
        <v>2002</v>
      </c>
      <c r="F6" s="476" t="s">
        <v>2003</v>
      </c>
      <c r="G6" s="476" t="s">
        <v>2004</v>
      </c>
      <c r="H6" s="476" t="s">
        <v>2005</v>
      </c>
      <c r="I6" s="798"/>
      <c r="J6" s="798"/>
      <c r="K6" s="476" t="s">
        <v>1999</v>
      </c>
      <c r="L6" s="476" t="s">
        <v>2000</v>
      </c>
      <c r="M6" s="476" t="s">
        <v>2001</v>
      </c>
      <c r="N6" s="476" t="s">
        <v>2002</v>
      </c>
      <c r="O6" s="476" t="s">
        <v>2003</v>
      </c>
      <c r="P6" s="476" t="s">
        <v>2004</v>
      </c>
      <c r="Q6" s="476" t="s">
        <v>2005</v>
      </c>
      <c r="R6" s="798"/>
    </row>
    <row r="7" spans="1:18" ht="16" thickBot="1" x14ac:dyDescent="0.25">
      <c r="A7" s="477" t="s">
        <v>2006</v>
      </c>
      <c r="B7" s="478"/>
      <c r="C7" s="478"/>
      <c r="D7" s="479"/>
      <c r="E7" s="479"/>
      <c r="F7" s="478"/>
      <c r="G7" s="478"/>
      <c r="H7" s="478"/>
      <c r="I7" s="480" t="s">
        <v>2007</v>
      </c>
      <c r="J7" s="477" t="s">
        <v>2006</v>
      </c>
      <c r="K7" s="478"/>
      <c r="L7" s="478"/>
      <c r="M7" s="479"/>
      <c r="N7" s="479"/>
      <c r="O7" s="478"/>
      <c r="P7" s="478"/>
      <c r="Q7" s="478"/>
      <c r="R7" s="480" t="s">
        <v>2007</v>
      </c>
    </row>
    <row r="8" spans="1:18" ht="16" thickBot="1" x14ac:dyDescent="0.25">
      <c r="A8" s="477" t="s">
        <v>2008</v>
      </c>
      <c r="B8" s="478"/>
      <c r="C8" s="478"/>
      <c r="D8" s="479"/>
      <c r="E8" s="479"/>
      <c r="F8" s="478"/>
      <c r="G8" s="478"/>
      <c r="H8" s="478"/>
      <c r="I8" s="480" t="s">
        <v>2009</v>
      </c>
      <c r="J8" s="477" t="s">
        <v>2008</v>
      </c>
      <c r="K8" s="478"/>
      <c r="L8" s="478"/>
      <c r="M8" s="479"/>
      <c r="N8" s="479"/>
      <c r="O8" s="478"/>
      <c r="P8" s="478"/>
      <c r="Q8" s="478"/>
      <c r="R8" s="480" t="s">
        <v>2009</v>
      </c>
    </row>
    <row r="9" spans="1:18" ht="16" thickBot="1" x14ac:dyDescent="0.25">
      <c r="A9" s="477" t="s">
        <v>2010</v>
      </c>
      <c r="B9" s="478"/>
      <c r="C9" s="478"/>
      <c r="D9" s="479"/>
      <c r="E9" s="479"/>
      <c r="F9" s="478"/>
      <c r="G9" s="478"/>
      <c r="H9" s="478"/>
      <c r="I9" s="480" t="s">
        <v>2011</v>
      </c>
      <c r="J9" s="477" t="s">
        <v>2010</v>
      </c>
      <c r="K9" s="478"/>
      <c r="L9" s="478"/>
      <c r="M9" s="479"/>
      <c r="N9" s="479"/>
      <c r="O9" s="478"/>
      <c r="P9" s="478"/>
      <c r="Q9" s="478"/>
      <c r="R9" s="480" t="s">
        <v>2011</v>
      </c>
    </row>
    <row r="10" spans="1:18" ht="16" thickBot="1" x14ac:dyDescent="0.25">
      <c r="A10" s="477" t="s">
        <v>2012</v>
      </c>
      <c r="B10" s="478"/>
      <c r="C10" s="478"/>
      <c r="D10" s="479"/>
      <c r="E10" s="479"/>
      <c r="F10" s="478"/>
      <c r="G10" s="478"/>
      <c r="H10" s="478"/>
      <c r="I10" s="480" t="s">
        <v>2013</v>
      </c>
      <c r="J10" s="477" t="s">
        <v>2012</v>
      </c>
      <c r="K10" s="478"/>
      <c r="L10" s="478"/>
      <c r="M10" s="479"/>
      <c r="N10" s="479"/>
      <c r="O10" s="478"/>
      <c r="P10" s="478"/>
      <c r="Q10" s="478"/>
      <c r="R10" s="480" t="s">
        <v>2013</v>
      </c>
    </row>
    <row r="11" spans="1:18" ht="16" thickBot="1" x14ac:dyDescent="0.25">
      <c r="A11" s="477" t="s">
        <v>2014</v>
      </c>
      <c r="B11" s="478"/>
      <c r="C11" s="478"/>
      <c r="D11" s="479"/>
      <c r="E11" s="479"/>
      <c r="F11" s="478"/>
      <c r="G11" s="478"/>
      <c r="H11" s="478"/>
      <c r="I11" s="480" t="s">
        <v>2015</v>
      </c>
      <c r="J11" s="477" t="s">
        <v>2014</v>
      </c>
      <c r="K11" s="478"/>
      <c r="L11" s="478"/>
      <c r="M11" s="479"/>
      <c r="N11" s="479"/>
      <c r="O11" s="478"/>
      <c r="P11" s="478"/>
      <c r="Q11" s="478"/>
      <c r="R11" s="480" t="s">
        <v>2015</v>
      </c>
    </row>
    <row r="12" spans="1:18" ht="16" thickBot="1" x14ac:dyDescent="0.25">
      <c r="A12" s="477" t="s">
        <v>2016</v>
      </c>
      <c r="B12" s="478"/>
      <c r="C12" s="478"/>
      <c r="D12" s="479"/>
      <c r="E12" s="479"/>
      <c r="F12" s="478"/>
      <c r="G12" s="478"/>
      <c r="H12" s="478"/>
      <c r="I12" s="480" t="s">
        <v>2017</v>
      </c>
      <c r="J12" s="477" t="s">
        <v>2016</v>
      </c>
      <c r="K12" s="478"/>
      <c r="L12" s="478"/>
      <c r="M12" s="479"/>
      <c r="N12" s="479"/>
      <c r="O12" s="478"/>
      <c r="P12" s="478"/>
      <c r="Q12" s="478"/>
      <c r="R12" s="480" t="s">
        <v>2017</v>
      </c>
    </row>
    <row r="13" spans="1:18" ht="16" thickBot="1" x14ac:dyDescent="0.25">
      <c r="A13" s="477" t="s">
        <v>2018</v>
      </c>
      <c r="B13" s="478"/>
      <c r="C13" s="478"/>
      <c r="D13" s="479"/>
      <c r="E13" s="479"/>
      <c r="F13" s="478"/>
      <c r="G13" s="478"/>
      <c r="H13" s="478"/>
      <c r="I13" s="480" t="s">
        <v>2019</v>
      </c>
      <c r="J13" s="477" t="s">
        <v>2018</v>
      </c>
      <c r="K13" s="478"/>
      <c r="L13" s="478"/>
      <c r="M13" s="479"/>
      <c r="N13" s="479"/>
      <c r="O13" s="478"/>
      <c r="P13" s="478"/>
      <c r="Q13" s="478"/>
      <c r="R13" s="480" t="s">
        <v>2019</v>
      </c>
    </row>
    <row r="14" spans="1:18" ht="16" thickBot="1" x14ac:dyDescent="0.25">
      <c r="A14" s="477" t="s">
        <v>2020</v>
      </c>
      <c r="B14" s="478"/>
      <c r="C14" s="478"/>
      <c r="D14" s="479"/>
      <c r="E14" s="479"/>
      <c r="F14" s="478"/>
      <c r="G14" s="478"/>
      <c r="H14" s="478"/>
      <c r="I14" s="480" t="s">
        <v>2021</v>
      </c>
      <c r="J14" s="477" t="s">
        <v>2020</v>
      </c>
      <c r="K14" s="478"/>
      <c r="L14" s="478"/>
      <c r="M14" s="479"/>
      <c r="N14" s="479"/>
      <c r="O14" s="478"/>
      <c r="P14" s="478"/>
      <c r="Q14" s="478"/>
      <c r="R14" s="480" t="s">
        <v>2021</v>
      </c>
    </row>
    <row r="15" spans="1:18" ht="16" thickBot="1" x14ac:dyDescent="0.25">
      <c r="A15" s="477" t="s">
        <v>2022</v>
      </c>
      <c r="B15" s="478"/>
      <c r="C15" s="478"/>
      <c r="D15" s="479"/>
      <c r="E15" s="479"/>
      <c r="F15" s="478"/>
      <c r="G15" s="478"/>
      <c r="H15" s="478"/>
      <c r="I15" s="480" t="s">
        <v>2023</v>
      </c>
      <c r="J15" s="477" t="s">
        <v>2022</v>
      </c>
      <c r="K15" s="478"/>
      <c r="L15" s="478"/>
      <c r="M15" s="479"/>
      <c r="N15" s="479"/>
      <c r="O15" s="478"/>
      <c r="P15" s="478"/>
      <c r="Q15" s="478"/>
      <c r="R15" s="480" t="s">
        <v>2023</v>
      </c>
    </row>
    <row r="16" spans="1:18" ht="16" thickBot="1" x14ac:dyDescent="0.25">
      <c r="A16" s="477" t="s">
        <v>2024</v>
      </c>
      <c r="B16" s="478"/>
      <c r="C16" s="478"/>
      <c r="D16" s="479"/>
      <c r="E16" s="479"/>
      <c r="F16" s="478"/>
      <c r="G16" s="478"/>
      <c r="H16" s="478"/>
      <c r="I16" s="480" t="s">
        <v>2025</v>
      </c>
      <c r="J16" s="477" t="s">
        <v>2024</v>
      </c>
      <c r="K16" s="478"/>
      <c r="L16" s="478"/>
      <c r="M16" s="479"/>
      <c r="N16" s="479"/>
      <c r="O16" s="478"/>
      <c r="P16" s="478"/>
      <c r="Q16" s="478"/>
      <c r="R16" s="480" t="s">
        <v>2025</v>
      </c>
    </row>
    <row r="17" spans="1:18" ht="16" thickBot="1" x14ac:dyDescent="0.25">
      <c r="A17" s="477" t="s">
        <v>2026</v>
      </c>
      <c r="B17" s="478"/>
      <c r="C17" s="478"/>
      <c r="D17" s="479"/>
      <c r="E17" s="479"/>
      <c r="F17" s="478"/>
      <c r="G17" s="478"/>
      <c r="H17" s="478"/>
      <c r="I17" s="480" t="s">
        <v>2027</v>
      </c>
      <c r="J17" s="477" t="s">
        <v>2026</v>
      </c>
      <c r="K17" s="478"/>
      <c r="L17" s="478"/>
      <c r="M17" s="479"/>
      <c r="N17" s="479"/>
      <c r="O17" s="478"/>
      <c r="P17" s="478"/>
      <c r="Q17" s="478"/>
      <c r="R17" s="480" t="s">
        <v>2027</v>
      </c>
    </row>
    <row r="18" spans="1:18" ht="16" thickBot="1" x14ac:dyDescent="0.25">
      <c r="A18" s="481" t="s">
        <v>1992</v>
      </c>
      <c r="B18" s="482"/>
      <c r="C18" s="482"/>
      <c r="D18" s="482"/>
      <c r="E18" s="483"/>
      <c r="F18" s="482"/>
      <c r="G18" s="482"/>
      <c r="H18" s="482"/>
      <c r="I18" s="484" t="s">
        <v>1999</v>
      </c>
      <c r="J18" s="481" t="s">
        <v>1992</v>
      </c>
      <c r="K18" s="482"/>
      <c r="L18" s="482"/>
      <c r="M18" s="482"/>
      <c r="N18" s="483"/>
      <c r="O18" s="482"/>
      <c r="P18" s="482"/>
      <c r="Q18" s="482"/>
      <c r="R18" s="484" t="s">
        <v>1999</v>
      </c>
    </row>
    <row r="19" spans="1:18" ht="17.25" customHeight="1" x14ac:dyDescent="0.2">
      <c r="A19" s="799" t="s">
        <v>1990</v>
      </c>
      <c r="B19" s="799"/>
      <c r="C19" s="800" t="s">
        <v>1991</v>
      </c>
      <c r="D19" s="800"/>
    </row>
    <row r="20" spans="1:18" x14ac:dyDescent="0.2">
      <c r="A20" s="485"/>
      <c r="B20" s="475" t="s">
        <v>17</v>
      </c>
      <c r="C20" s="475" t="s">
        <v>104</v>
      </c>
    </row>
    <row r="21" spans="1:18" ht="16" thickBot="1" x14ac:dyDescent="0.25">
      <c r="A21" s="481" t="s">
        <v>1990</v>
      </c>
      <c r="B21" s="482"/>
      <c r="C21" s="482"/>
      <c r="D21" s="484" t="s">
        <v>1991</v>
      </c>
    </row>
    <row r="22" spans="1:18" ht="16" thickBot="1" x14ac:dyDescent="0.25">
      <c r="A22" s="486" t="s">
        <v>1995</v>
      </c>
      <c r="B22" s="483"/>
      <c r="C22" s="483"/>
      <c r="D22" s="484" t="s">
        <v>2002</v>
      </c>
    </row>
    <row r="23" spans="1:18" ht="29" thickBot="1" x14ac:dyDescent="0.25">
      <c r="A23" s="487" t="s">
        <v>2028</v>
      </c>
      <c r="B23" s="488"/>
      <c r="C23" s="488"/>
      <c r="D23" s="480" t="s">
        <v>2029</v>
      </c>
    </row>
    <row r="24" spans="1:18" ht="16" thickBot="1" x14ac:dyDescent="0.25">
      <c r="A24" s="486" t="s">
        <v>2030</v>
      </c>
      <c r="B24" s="483"/>
      <c r="C24" s="483"/>
      <c r="D24" s="484" t="s">
        <v>2031</v>
      </c>
    </row>
    <row r="25" spans="1:18" ht="43" thickBot="1" x14ac:dyDescent="0.25">
      <c r="A25" s="487" t="s">
        <v>2032</v>
      </c>
      <c r="B25" s="479"/>
      <c r="C25" s="479"/>
      <c r="D25" s="480" t="s">
        <v>2033</v>
      </c>
    </row>
    <row r="26" spans="1:18" ht="29" thickBot="1" x14ac:dyDescent="0.25">
      <c r="A26" s="487" t="s">
        <v>2034</v>
      </c>
      <c r="B26" s="479"/>
      <c r="C26" s="479"/>
      <c r="D26" s="480" t="s">
        <v>2035</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baseColWidth="10" defaultColWidth="9.3984375" defaultRowHeight="15" x14ac:dyDescent="0.2"/>
  <cols>
    <col min="1" max="1" width="42.59765625" style="489" bestFit="1" customWidth="1" collapsed="1"/>
    <col min="2" max="2" width="33.3984375" style="489" customWidth="1" collapsed="1"/>
    <col min="3" max="3" width="38.19921875" style="489" bestFit="1" customWidth="1" collapsed="1"/>
    <col min="4" max="16384" width="9.3984375" style="489" collapsed="1"/>
  </cols>
  <sheetData>
    <row r="1" spans="1:3" ht="34.5" customHeight="1" x14ac:dyDescent="0.2">
      <c r="A1" s="801" t="s">
        <v>2036</v>
      </c>
      <c r="B1" s="802"/>
      <c r="C1" s="802"/>
    </row>
    <row r="3" spans="1:3" ht="17.25" customHeight="1" x14ac:dyDescent="0.2">
      <c r="A3" s="490" t="s">
        <v>1680</v>
      </c>
      <c r="B3" s="803" t="s">
        <v>1681</v>
      </c>
      <c r="C3" s="803"/>
    </row>
    <row r="4" spans="1:3" x14ac:dyDescent="0.2">
      <c r="A4" s="491"/>
      <c r="B4" s="492" t="s">
        <v>102</v>
      </c>
    </row>
    <row r="5" spans="1:3" ht="16" thickBot="1" x14ac:dyDescent="0.25">
      <c r="A5" s="493" t="s">
        <v>1680</v>
      </c>
      <c r="B5" s="494"/>
      <c r="C5" s="495" t="s">
        <v>1681</v>
      </c>
    </row>
    <row r="6" spans="1:3" ht="75" customHeight="1" thickBot="1" x14ac:dyDescent="0.25">
      <c r="A6" s="496" t="s">
        <v>2037</v>
      </c>
      <c r="B6" s="497"/>
      <c r="C6" s="498"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baseColWidth="10" defaultColWidth="9.3984375" defaultRowHeight="15" x14ac:dyDescent="0.2"/>
  <cols>
    <col min="1" max="1" width="42.59765625" style="500" bestFit="1" customWidth="1" collapsed="1"/>
    <col min="2" max="3" width="30" style="500" bestFit="1" customWidth="1" collapsed="1"/>
    <col min="4" max="4" width="36.3984375" style="500" bestFit="1" customWidth="1" collapsed="1"/>
    <col min="5" max="8" width="30" style="500" bestFit="1" customWidth="1" collapsed="1"/>
    <col min="9" max="9" width="19.19921875" style="500" bestFit="1" customWidth="1" collapsed="1"/>
    <col min="10" max="10" width="16.3984375" style="500" bestFit="1" customWidth="1" collapsed="1"/>
    <col min="11" max="17" width="30" style="500" bestFit="1" customWidth="1" collapsed="1"/>
    <col min="18" max="18" width="19.19921875" style="500" bestFit="1" customWidth="1" collapsed="1"/>
    <col min="19" max="16384" width="9.3984375" style="500" collapsed="1"/>
  </cols>
  <sheetData>
    <row r="1" spans="1:18" ht="18" x14ac:dyDescent="0.2">
      <c r="A1" s="499" t="s">
        <v>2039</v>
      </c>
    </row>
    <row r="3" spans="1:18" ht="17.25" customHeight="1" x14ac:dyDescent="0.2">
      <c r="A3" s="804" t="s">
        <v>17</v>
      </c>
      <c r="B3" s="804"/>
      <c r="C3" s="804"/>
      <c r="D3" s="804"/>
      <c r="E3" s="804"/>
      <c r="F3" s="804"/>
      <c r="G3" s="804"/>
      <c r="H3" s="804"/>
      <c r="I3" s="804"/>
      <c r="J3" s="805" t="s">
        <v>104</v>
      </c>
      <c r="K3" s="805"/>
      <c r="L3" s="805"/>
      <c r="M3" s="805"/>
      <c r="N3" s="805"/>
      <c r="O3" s="805"/>
      <c r="P3" s="805"/>
      <c r="Q3" s="805"/>
      <c r="R3" s="805"/>
    </row>
    <row r="4" spans="1:18" ht="17.25" customHeight="1" x14ac:dyDescent="0.2">
      <c r="A4" s="804" t="s">
        <v>2040</v>
      </c>
      <c r="B4" s="804"/>
      <c r="C4" s="804"/>
      <c r="D4" s="804"/>
      <c r="E4" s="805" t="s">
        <v>2041</v>
      </c>
      <c r="F4" s="805"/>
      <c r="G4" s="805"/>
      <c r="H4" s="805"/>
      <c r="I4" s="805"/>
      <c r="J4" s="804" t="s">
        <v>2040</v>
      </c>
      <c r="K4" s="804"/>
      <c r="L4" s="804"/>
      <c r="M4" s="804"/>
      <c r="N4" s="805" t="s">
        <v>2041</v>
      </c>
      <c r="O4" s="805"/>
      <c r="P4" s="805"/>
      <c r="Q4" s="805"/>
      <c r="R4" s="805"/>
    </row>
    <row r="5" spans="1:18" x14ac:dyDescent="0.2">
      <c r="A5" s="806"/>
      <c r="B5" s="501" t="s">
        <v>2042</v>
      </c>
      <c r="C5" s="501" t="s">
        <v>1993</v>
      </c>
      <c r="D5" s="501" t="s">
        <v>2043</v>
      </c>
      <c r="E5" s="501" t="s">
        <v>2044</v>
      </c>
      <c r="F5" s="501" t="s">
        <v>2045</v>
      </c>
      <c r="G5" s="501" t="s">
        <v>2046</v>
      </c>
      <c r="H5" s="501" t="s">
        <v>2047</v>
      </c>
      <c r="I5" s="806"/>
      <c r="J5" s="806"/>
      <c r="K5" s="501" t="s">
        <v>2042</v>
      </c>
      <c r="L5" s="501" t="s">
        <v>1993</v>
      </c>
      <c r="M5" s="501" t="s">
        <v>2043</v>
      </c>
      <c r="N5" s="501" t="s">
        <v>2044</v>
      </c>
      <c r="O5" s="501" t="s">
        <v>2045</v>
      </c>
      <c r="P5" s="501" t="s">
        <v>2046</v>
      </c>
      <c r="Q5" s="501" t="s">
        <v>2047</v>
      </c>
      <c r="R5" s="806"/>
    </row>
    <row r="6" spans="1:18" ht="29" x14ac:dyDescent="0.2">
      <c r="A6" s="806"/>
      <c r="B6" s="502" t="s">
        <v>2048</v>
      </c>
      <c r="C6" s="502" t="s">
        <v>2000</v>
      </c>
      <c r="D6" s="502" t="s">
        <v>2049</v>
      </c>
      <c r="E6" s="502" t="s">
        <v>2050</v>
      </c>
      <c r="F6" s="502" t="s">
        <v>2051</v>
      </c>
      <c r="G6" s="502" t="s">
        <v>2052</v>
      </c>
      <c r="H6" s="502" t="s">
        <v>2053</v>
      </c>
      <c r="I6" s="806"/>
      <c r="J6" s="806"/>
      <c r="K6" s="502" t="s">
        <v>2048</v>
      </c>
      <c r="L6" s="502" t="s">
        <v>2000</v>
      </c>
      <c r="M6" s="502" t="s">
        <v>2049</v>
      </c>
      <c r="N6" s="502" t="s">
        <v>2050</v>
      </c>
      <c r="O6" s="502" t="s">
        <v>2051</v>
      </c>
      <c r="P6" s="502" t="s">
        <v>2052</v>
      </c>
      <c r="Q6" s="502" t="s">
        <v>2053</v>
      </c>
      <c r="R6" s="806"/>
    </row>
    <row r="7" spans="1:18" ht="16" thickBot="1" x14ac:dyDescent="0.25">
      <c r="A7" s="503" t="s">
        <v>2054</v>
      </c>
      <c r="B7" s="504"/>
      <c r="C7" s="504"/>
      <c r="D7" s="505"/>
      <c r="E7" s="505"/>
      <c r="F7" s="504"/>
      <c r="G7" s="504"/>
      <c r="H7" s="504"/>
      <c r="I7" s="506" t="s">
        <v>2055</v>
      </c>
      <c r="J7" s="503" t="s">
        <v>2054</v>
      </c>
      <c r="K7" s="504"/>
      <c r="L7" s="504"/>
      <c r="M7" s="505"/>
      <c r="N7" s="505"/>
      <c r="O7" s="504"/>
      <c r="P7" s="504"/>
      <c r="Q7" s="504"/>
      <c r="R7" s="506" t="s">
        <v>2055</v>
      </c>
    </row>
    <row r="8" spans="1:18" ht="16" thickBot="1" x14ac:dyDescent="0.25">
      <c r="A8" s="503" t="s">
        <v>2056</v>
      </c>
      <c r="B8" s="504"/>
      <c r="C8" s="504"/>
      <c r="D8" s="505"/>
      <c r="E8" s="505"/>
      <c r="F8" s="504"/>
      <c r="G8" s="504"/>
      <c r="H8" s="504"/>
      <c r="I8" s="506" t="s">
        <v>2057</v>
      </c>
      <c r="J8" s="503" t="s">
        <v>2056</v>
      </c>
      <c r="K8" s="504"/>
      <c r="L8" s="504"/>
      <c r="M8" s="505"/>
      <c r="N8" s="505"/>
      <c r="O8" s="504"/>
      <c r="P8" s="504"/>
      <c r="Q8" s="504"/>
      <c r="R8" s="506" t="s">
        <v>2057</v>
      </c>
    </row>
    <row r="9" spans="1:18" ht="16" thickBot="1" x14ac:dyDescent="0.25">
      <c r="A9" s="503" t="s">
        <v>2058</v>
      </c>
      <c r="B9" s="504"/>
      <c r="C9" s="504"/>
      <c r="D9" s="505"/>
      <c r="E9" s="505"/>
      <c r="F9" s="504"/>
      <c r="G9" s="504"/>
      <c r="H9" s="504"/>
      <c r="I9" s="506" t="s">
        <v>2059</v>
      </c>
      <c r="J9" s="503" t="s">
        <v>2058</v>
      </c>
      <c r="K9" s="504"/>
      <c r="L9" s="504"/>
      <c r="M9" s="505"/>
      <c r="N9" s="505"/>
      <c r="O9" s="504"/>
      <c r="P9" s="504"/>
      <c r="Q9" s="504"/>
      <c r="R9" s="506" t="s">
        <v>2059</v>
      </c>
    </row>
    <row r="10" spans="1:18" ht="16" thickBot="1" x14ac:dyDescent="0.25">
      <c r="A10" s="503" t="s">
        <v>2060</v>
      </c>
      <c r="B10" s="504"/>
      <c r="C10" s="504"/>
      <c r="D10" s="505"/>
      <c r="E10" s="505"/>
      <c r="F10" s="504"/>
      <c r="G10" s="504"/>
      <c r="H10" s="504"/>
      <c r="I10" s="506" t="s">
        <v>2061</v>
      </c>
      <c r="J10" s="503" t="s">
        <v>2060</v>
      </c>
      <c r="K10" s="504"/>
      <c r="L10" s="504"/>
      <c r="M10" s="505"/>
      <c r="N10" s="505"/>
      <c r="O10" s="504"/>
      <c r="P10" s="504"/>
      <c r="Q10" s="504"/>
      <c r="R10" s="506" t="s">
        <v>2061</v>
      </c>
    </row>
    <row r="11" spans="1:18" ht="16" thickBot="1" x14ac:dyDescent="0.25">
      <c r="A11" s="503" t="s">
        <v>2062</v>
      </c>
      <c r="B11" s="504"/>
      <c r="C11" s="504"/>
      <c r="D11" s="505"/>
      <c r="E11" s="505"/>
      <c r="F11" s="504"/>
      <c r="G11" s="504"/>
      <c r="H11" s="504"/>
      <c r="I11" s="506" t="s">
        <v>2063</v>
      </c>
      <c r="J11" s="503" t="s">
        <v>2062</v>
      </c>
      <c r="K11" s="504"/>
      <c r="L11" s="504"/>
      <c r="M11" s="505"/>
      <c r="N11" s="505"/>
      <c r="O11" s="504"/>
      <c r="P11" s="504"/>
      <c r="Q11" s="504"/>
      <c r="R11" s="506" t="s">
        <v>2063</v>
      </c>
    </row>
    <row r="12" spans="1:18" ht="16" thickBot="1" x14ac:dyDescent="0.25">
      <c r="A12" s="503" t="s">
        <v>2064</v>
      </c>
      <c r="B12" s="504"/>
      <c r="C12" s="504"/>
      <c r="D12" s="505"/>
      <c r="E12" s="505"/>
      <c r="F12" s="504"/>
      <c r="G12" s="504"/>
      <c r="H12" s="504"/>
      <c r="I12" s="506" t="s">
        <v>2065</v>
      </c>
      <c r="J12" s="503" t="s">
        <v>2064</v>
      </c>
      <c r="K12" s="504"/>
      <c r="L12" s="504"/>
      <c r="M12" s="505"/>
      <c r="N12" s="505"/>
      <c r="O12" s="504"/>
      <c r="P12" s="504"/>
      <c r="Q12" s="504"/>
      <c r="R12" s="506" t="s">
        <v>2065</v>
      </c>
    </row>
    <row r="13" spans="1:18" ht="16" thickBot="1" x14ac:dyDescent="0.25">
      <c r="A13" s="503" t="s">
        <v>2066</v>
      </c>
      <c r="B13" s="504"/>
      <c r="C13" s="504"/>
      <c r="D13" s="505"/>
      <c r="E13" s="505"/>
      <c r="F13" s="504"/>
      <c r="G13" s="504"/>
      <c r="H13" s="504"/>
      <c r="I13" s="506" t="s">
        <v>2067</v>
      </c>
      <c r="J13" s="503" t="s">
        <v>2066</v>
      </c>
      <c r="K13" s="504"/>
      <c r="L13" s="504"/>
      <c r="M13" s="505"/>
      <c r="N13" s="505"/>
      <c r="O13" s="504"/>
      <c r="P13" s="504"/>
      <c r="Q13" s="504"/>
      <c r="R13" s="506" t="s">
        <v>2067</v>
      </c>
    </row>
    <row r="14" spans="1:18" ht="16" thickBot="1" x14ac:dyDescent="0.25">
      <c r="A14" s="503" t="s">
        <v>2068</v>
      </c>
      <c r="B14" s="504"/>
      <c r="C14" s="504"/>
      <c r="D14" s="505"/>
      <c r="E14" s="505"/>
      <c r="F14" s="504"/>
      <c r="G14" s="504"/>
      <c r="H14" s="504"/>
      <c r="I14" s="506" t="s">
        <v>2069</v>
      </c>
      <c r="J14" s="503" t="s">
        <v>2068</v>
      </c>
      <c r="K14" s="504"/>
      <c r="L14" s="504"/>
      <c r="M14" s="505"/>
      <c r="N14" s="505"/>
      <c r="O14" s="504"/>
      <c r="P14" s="504"/>
      <c r="Q14" s="504"/>
      <c r="R14" s="506" t="s">
        <v>2069</v>
      </c>
    </row>
    <row r="15" spans="1:18" ht="16" thickBot="1" x14ac:dyDescent="0.25">
      <c r="A15" s="503" t="s">
        <v>2070</v>
      </c>
      <c r="B15" s="504"/>
      <c r="C15" s="504"/>
      <c r="D15" s="505"/>
      <c r="E15" s="505"/>
      <c r="F15" s="504"/>
      <c r="G15" s="504"/>
      <c r="H15" s="504"/>
      <c r="I15" s="506" t="s">
        <v>2071</v>
      </c>
      <c r="J15" s="503" t="s">
        <v>2070</v>
      </c>
      <c r="K15" s="504"/>
      <c r="L15" s="504"/>
      <c r="M15" s="505"/>
      <c r="N15" s="505"/>
      <c r="O15" s="504"/>
      <c r="P15" s="504"/>
      <c r="Q15" s="504"/>
      <c r="R15" s="506" t="s">
        <v>2071</v>
      </c>
    </row>
    <row r="16" spans="1:18" ht="16" thickBot="1" x14ac:dyDescent="0.25">
      <c r="A16" s="503" t="s">
        <v>2072</v>
      </c>
      <c r="B16" s="504"/>
      <c r="C16" s="504"/>
      <c r="D16" s="505"/>
      <c r="E16" s="505"/>
      <c r="F16" s="504"/>
      <c r="G16" s="504"/>
      <c r="H16" s="504"/>
      <c r="I16" s="506" t="s">
        <v>2073</v>
      </c>
      <c r="J16" s="503" t="s">
        <v>2072</v>
      </c>
      <c r="K16" s="504"/>
      <c r="L16" s="504"/>
      <c r="M16" s="505"/>
      <c r="N16" s="505"/>
      <c r="O16" s="504"/>
      <c r="P16" s="504"/>
      <c r="Q16" s="504"/>
      <c r="R16" s="506" t="s">
        <v>2073</v>
      </c>
    </row>
    <row r="17" spans="1:18" ht="16" thickBot="1" x14ac:dyDescent="0.25">
      <c r="A17" s="503" t="s">
        <v>2074</v>
      </c>
      <c r="B17" s="504"/>
      <c r="C17" s="504"/>
      <c r="D17" s="505"/>
      <c r="E17" s="505"/>
      <c r="F17" s="504"/>
      <c r="G17" s="504"/>
      <c r="H17" s="504"/>
      <c r="I17" s="506" t="s">
        <v>2075</v>
      </c>
      <c r="J17" s="503" t="s">
        <v>2074</v>
      </c>
      <c r="K17" s="504"/>
      <c r="L17" s="504"/>
      <c r="M17" s="505"/>
      <c r="N17" s="505"/>
      <c r="O17" s="504"/>
      <c r="P17" s="504"/>
      <c r="Q17" s="504"/>
      <c r="R17" s="506" t="s">
        <v>2075</v>
      </c>
    </row>
    <row r="18" spans="1:18" ht="16" thickBot="1" x14ac:dyDescent="0.25">
      <c r="A18" s="507" t="s">
        <v>2042</v>
      </c>
      <c r="B18" s="508"/>
      <c r="C18" s="508"/>
      <c r="D18" s="508"/>
      <c r="E18" s="509"/>
      <c r="F18" s="508"/>
      <c r="G18" s="508"/>
      <c r="H18" s="508"/>
      <c r="I18" s="510" t="s">
        <v>2048</v>
      </c>
      <c r="J18" s="507" t="s">
        <v>2042</v>
      </c>
      <c r="K18" s="508"/>
      <c r="L18" s="508"/>
      <c r="M18" s="508"/>
      <c r="N18" s="509"/>
      <c r="O18" s="508"/>
      <c r="P18" s="508"/>
      <c r="Q18" s="508"/>
      <c r="R18" s="510" t="s">
        <v>2048</v>
      </c>
    </row>
    <row r="19" spans="1:18" ht="17.25" customHeight="1" x14ac:dyDescent="0.2">
      <c r="A19" s="807" t="s">
        <v>2040</v>
      </c>
      <c r="B19" s="807"/>
      <c r="C19" s="808" t="s">
        <v>2041</v>
      </c>
      <c r="D19" s="808"/>
    </row>
    <row r="20" spans="1:18" x14ac:dyDescent="0.2">
      <c r="A20" s="511"/>
      <c r="B20" s="501" t="s">
        <v>17</v>
      </c>
      <c r="C20" s="501" t="s">
        <v>104</v>
      </c>
    </row>
    <row r="21" spans="1:18" ht="16" thickBot="1" x14ac:dyDescent="0.25">
      <c r="A21" s="507" t="s">
        <v>2040</v>
      </c>
      <c r="B21" s="508"/>
      <c r="C21" s="508"/>
      <c r="D21" s="510" t="s">
        <v>2041</v>
      </c>
    </row>
    <row r="22" spans="1:18" ht="16" thickBot="1" x14ac:dyDescent="0.25">
      <c r="A22" s="512" t="s">
        <v>2044</v>
      </c>
      <c r="B22" s="509"/>
      <c r="C22" s="509"/>
      <c r="D22" s="510" t="s">
        <v>2050</v>
      </c>
    </row>
    <row r="23" spans="1:18" ht="29" thickBot="1" x14ac:dyDescent="0.25">
      <c r="A23" s="513" t="s">
        <v>2076</v>
      </c>
      <c r="B23" s="514"/>
      <c r="C23" s="514"/>
      <c r="D23" s="506" t="s">
        <v>2077</v>
      </c>
    </row>
    <row r="24" spans="1:18" ht="16" thickBot="1" x14ac:dyDescent="0.25">
      <c r="A24" s="512" t="s">
        <v>2078</v>
      </c>
      <c r="B24" s="509"/>
      <c r="C24" s="509"/>
      <c r="D24" s="510" t="s">
        <v>2079</v>
      </c>
    </row>
    <row r="25" spans="1:18" ht="29" thickBot="1" x14ac:dyDescent="0.25">
      <c r="A25" s="513" t="s">
        <v>2080</v>
      </c>
      <c r="B25" s="505"/>
      <c r="C25" s="505"/>
      <c r="D25" s="506" t="s">
        <v>2081</v>
      </c>
    </row>
    <row r="26" spans="1:18" ht="16" thickBot="1" x14ac:dyDescent="0.25">
      <c r="A26" s="513" t="s">
        <v>2082</v>
      </c>
      <c r="B26" s="505"/>
      <c r="C26" s="505"/>
      <c r="D26" s="506" t="s">
        <v>2083</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baseColWidth="10" defaultColWidth="9.3984375" defaultRowHeight="15" x14ac:dyDescent="0.2"/>
  <cols>
    <col min="1" max="1" width="42.796875" style="515" customWidth="1" collapsed="1"/>
    <col min="2" max="2" width="33.3984375" style="515" customWidth="1" collapsed="1"/>
    <col min="3" max="3" width="34.59765625" style="515" customWidth="1" collapsed="1"/>
    <col min="4" max="16384" width="9.3984375" style="515" collapsed="1"/>
  </cols>
  <sheetData>
    <row r="1" spans="1:3" ht="34.5" customHeight="1" x14ac:dyDescent="0.2">
      <c r="A1" s="809" t="s">
        <v>2084</v>
      </c>
      <c r="B1" s="810"/>
      <c r="C1" s="810"/>
    </row>
    <row r="3" spans="1:3" ht="17.25" customHeight="1" x14ac:dyDescent="0.2">
      <c r="A3" s="516" t="s">
        <v>1680</v>
      </c>
      <c r="B3" s="811" t="s">
        <v>1681</v>
      </c>
      <c r="C3" s="811"/>
    </row>
    <row r="4" spans="1:3" x14ac:dyDescent="0.2">
      <c r="A4" s="517"/>
      <c r="B4" s="518" t="s">
        <v>102</v>
      </c>
    </row>
    <row r="5" spans="1:3" ht="16" thickBot="1" x14ac:dyDescent="0.25">
      <c r="A5" s="519" t="s">
        <v>1680</v>
      </c>
      <c r="B5" s="520"/>
      <c r="C5" s="521" t="s">
        <v>1681</v>
      </c>
    </row>
    <row r="6" spans="1:3" ht="75" customHeight="1" thickBot="1" x14ac:dyDescent="0.25">
      <c r="A6" s="522" t="s">
        <v>2085</v>
      </c>
      <c r="B6" s="523"/>
      <c r="C6" s="524"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baseColWidth="10" defaultColWidth="9.3984375" defaultRowHeight="15" x14ac:dyDescent="0.2"/>
  <cols>
    <col min="1" max="1" width="42.59765625" style="526" bestFit="1" customWidth="1" collapsed="1"/>
    <col min="2" max="2" width="19" style="526" bestFit="1" customWidth="1" collapsed="1"/>
    <col min="3" max="4" width="30" style="526" bestFit="1" customWidth="1" collapsed="1"/>
    <col min="5" max="5" width="42.59765625" style="526" bestFit="1" customWidth="1" collapsed="1"/>
    <col min="6" max="6" width="15.59765625" style="526" bestFit="1" customWidth="1" collapsed="1"/>
    <col min="7" max="7" width="42.59765625" style="526" bestFit="1" customWidth="1" collapsed="1"/>
    <col min="8" max="8" width="19" style="526" bestFit="1" customWidth="1" collapsed="1"/>
    <col min="9" max="10" width="30" style="526" bestFit="1" customWidth="1" collapsed="1"/>
    <col min="11" max="11" width="42.59765625" style="526" bestFit="1" customWidth="1" collapsed="1"/>
    <col min="12" max="12" width="15.59765625" style="526" bestFit="1" customWidth="1" collapsed="1"/>
    <col min="13" max="16384" width="9.3984375" style="526" collapsed="1"/>
  </cols>
  <sheetData>
    <row r="1" spans="1:12" ht="18" x14ac:dyDescent="0.2">
      <c r="A1" s="525" t="s">
        <v>2087</v>
      </c>
    </row>
    <row r="3" spans="1:12" ht="17.25" customHeight="1" x14ac:dyDescent="0.2">
      <c r="A3" s="814" t="s">
        <v>17</v>
      </c>
      <c r="B3" s="814"/>
      <c r="C3" s="814"/>
      <c r="D3" s="814"/>
      <c r="E3" s="814"/>
      <c r="F3" s="814"/>
      <c r="G3" s="815" t="s">
        <v>104</v>
      </c>
      <c r="H3" s="815"/>
      <c r="I3" s="815"/>
      <c r="J3" s="815"/>
      <c r="K3" s="815"/>
      <c r="L3" s="815"/>
    </row>
    <row r="4" spans="1:12" ht="17.25" customHeight="1" x14ac:dyDescent="0.2">
      <c r="A4" s="814" t="s">
        <v>2088</v>
      </c>
      <c r="B4" s="814"/>
      <c r="C4" s="814"/>
      <c r="D4" s="815" t="s">
        <v>2089</v>
      </c>
      <c r="E4" s="815"/>
      <c r="F4" s="815"/>
      <c r="G4" s="814" t="s">
        <v>2088</v>
      </c>
      <c r="H4" s="814"/>
      <c r="I4" s="814"/>
      <c r="J4" s="815" t="s">
        <v>2089</v>
      </c>
      <c r="K4" s="815"/>
      <c r="L4" s="815"/>
    </row>
    <row r="5" spans="1:12" x14ac:dyDescent="0.2">
      <c r="A5" s="812"/>
      <c r="B5" s="812"/>
      <c r="C5" s="813" t="s">
        <v>2090</v>
      </c>
      <c r="D5" s="813"/>
      <c r="E5" s="812"/>
      <c r="F5" s="812"/>
      <c r="G5" s="812"/>
      <c r="H5" s="812"/>
      <c r="I5" s="813" t="s">
        <v>2090</v>
      </c>
      <c r="J5" s="813"/>
      <c r="K5" s="812"/>
      <c r="L5" s="812"/>
    </row>
    <row r="6" spans="1:12" x14ac:dyDescent="0.2">
      <c r="A6" s="812"/>
      <c r="B6" s="812"/>
      <c r="C6" s="527" t="s">
        <v>2091</v>
      </c>
      <c r="D6" s="527" t="s">
        <v>1505</v>
      </c>
      <c r="E6" s="812"/>
      <c r="F6" s="812"/>
      <c r="G6" s="812"/>
      <c r="H6" s="812"/>
      <c r="I6" s="527" t="s">
        <v>2091</v>
      </c>
      <c r="J6" s="527" t="s">
        <v>1505</v>
      </c>
      <c r="K6" s="812"/>
      <c r="L6" s="812"/>
    </row>
    <row r="7" spans="1:12" ht="16" thickBot="1" x14ac:dyDescent="0.25">
      <c r="A7" s="817" t="s">
        <v>2092</v>
      </c>
      <c r="B7" s="528" t="s">
        <v>2093</v>
      </c>
      <c r="C7" s="529"/>
      <c r="D7" s="529"/>
      <c r="E7" s="820" t="s">
        <v>2092</v>
      </c>
      <c r="F7" s="530" t="s">
        <v>2093</v>
      </c>
      <c r="G7" s="817" t="s">
        <v>2092</v>
      </c>
      <c r="H7" s="528" t="s">
        <v>2093</v>
      </c>
      <c r="I7" s="529"/>
      <c r="J7" s="529"/>
      <c r="K7" s="820" t="s">
        <v>2092</v>
      </c>
      <c r="L7" s="530" t="s">
        <v>2093</v>
      </c>
    </row>
    <row r="8" spans="1:12" ht="16" thickBot="1" x14ac:dyDescent="0.25">
      <c r="A8" s="817"/>
      <c r="B8" s="528" t="s">
        <v>2094</v>
      </c>
      <c r="C8" s="529"/>
      <c r="D8" s="529"/>
      <c r="E8" s="820"/>
      <c r="F8" s="530" t="s">
        <v>2094</v>
      </c>
      <c r="G8" s="817"/>
      <c r="H8" s="528" t="s">
        <v>2094</v>
      </c>
      <c r="I8" s="529"/>
      <c r="J8" s="529"/>
      <c r="K8" s="820"/>
      <c r="L8" s="530" t="s">
        <v>2094</v>
      </c>
    </row>
    <row r="9" spans="1:12" ht="16" thickBot="1" x14ac:dyDescent="0.25">
      <c r="A9" s="817"/>
      <c r="B9" s="528" t="s">
        <v>2095</v>
      </c>
      <c r="C9" s="529"/>
      <c r="D9" s="529"/>
      <c r="E9" s="820"/>
      <c r="F9" s="530" t="s">
        <v>2095</v>
      </c>
      <c r="G9" s="817"/>
      <c r="H9" s="528" t="s">
        <v>2095</v>
      </c>
      <c r="I9" s="529"/>
      <c r="J9" s="529"/>
      <c r="K9" s="820"/>
      <c r="L9" s="530" t="s">
        <v>2095</v>
      </c>
    </row>
    <row r="10" spans="1:12" ht="16" thickBot="1" x14ac:dyDescent="0.25">
      <c r="A10" s="817"/>
      <c r="B10" s="528" t="s">
        <v>2096</v>
      </c>
      <c r="C10" s="529"/>
      <c r="D10" s="529"/>
      <c r="E10" s="820"/>
      <c r="F10" s="530" t="s">
        <v>2096</v>
      </c>
      <c r="G10" s="817"/>
      <c r="H10" s="528" t="s">
        <v>2096</v>
      </c>
      <c r="I10" s="529"/>
      <c r="J10" s="529"/>
      <c r="K10" s="820"/>
      <c r="L10" s="530" t="s">
        <v>2096</v>
      </c>
    </row>
    <row r="11" spans="1:12" ht="16" thickBot="1" x14ac:dyDescent="0.25">
      <c r="A11" s="817"/>
      <c r="B11" s="528" t="s">
        <v>2097</v>
      </c>
      <c r="C11" s="529"/>
      <c r="D11" s="529"/>
      <c r="E11" s="820"/>
      <c r="F11" s="530" t="s">
        <v>2097</v>
      </c>
      <c r="G11" s="817"/>
      <c r="H11" s="528" t="s">
        <v>2097</v>
      </c>
      <c r="I11" s="529"/>
      <c r="J11" s="529"/>
      <c r="K11" s="820"/>
      <c r="L11" s="530" t="s">
        <v>2097</v>
      </c>
    </row>
    <row r="12" spans="1:12" ht="16" thickBot="1" x14ac:dyDescent="0.25">
      <c r="A12" s="817"/>
      <c r="B12" s="528" t="s">
        <v>2098</v>
      </c>
      <c r="C12" s="529"/>
      <c r="D12" s="529"/>
      <c r="E12" s="820"/>
      <c r="F12" s="530" t="s">
        <v>2098</v>
      </c>
      <c r="G12" s="817"/>
      <c r="H12" s="528" t="s">
        <v>2098</v>
      </c>
      <c r="I12" s="529"/>
      <c r="J12" s="529"/>
      <c r="K12" s="820"/>
      <c r="L12" s="530" t="s">
        <v>2098</v>
      </c>
    </row>
    <row r="13" spans="1:12" ht="16" thickBot="1" x14ac:dyDescent="0.25">
      <c r="A13" s="817"/>
      <c r="B13" s="528" t="s">
        <v>2099</v>
      </c>
      <c r="C13" s="529"/>
      <c r="D13" s="529"/>
      <c r="E13" s="820"/>
      <c r="F13" s="530" t="s">
        <v>2099</v>
      </c>
      <c r="G13" s="817"/>
      <c r="H13" s="528" t="s">
        <v>2099</v>
      </c>
      <c r="I13" s="529"/>
      <c r="J13" s="529"/>
      <c r="K13" s="820"/>
      <c r="L13" s="530" t="s">
        <v>2099</v>
      </c>
    </row>
    <row r="14" spans="1:12" ht="16" thickBot="1" x14ac:dyDescent="0.25">
      <c r="A14" s="817"/>
      <c r="B14" s="528" t="s">
        <v>2100</v>
      </c>
      <c r="C14" s="529"/>
      <c r="D14" s="529"/>
      <c r="E14" s="820"/>
      <c r="F14" s="530" t="s">
        <v>2100</v>
      </c>
      <c r="G14" s="817"/>
      <c r="H14" s="528" t="s">
        <v>2100</v>
      </c>
      <c r="I14" s="529"/>
      <c r="J14" s="529"/>
      <c r="K14" s="820"/>
      <c r="L14" s="530" t="s">
        <v>2100</v>
      </c>
    </row>
    <row r="15" spans="1:12" ht="16" thickBot="1" x14ac:dyDescent="0.25">
      <c r="A15" s="817"/>
      <c r="B15" s="528" t="s">
        <v>2101</v>
      </c>
      <c r="C15" s="529"/>
      <c r="D15" s="529"/>
      <c r="E15" s="820"/>
      <c r="F15" s="530" t="s">
        <v>2101</v>
      </c>
      <c r="G15" s="817"/>
      <c r="H15" s="528" t="s">
        <v>2101</v>
      </c>
      <c r="I15" s="529"/>
      <c r="J15" s="529"/>
      <c r="K15" s="820"/>
      <c r="L15" s="530" t="s">
        <v>2101</v>
      </c>
    </row>
    <row r="16" spans="1:12" ht="16" thickBot="1" x14ac:dyDescent="0.25">
      <c r="A16" s="817"/>
      <c r="B16" s="528" t="s">
        <v>2102</v>
      </c>
      <c r="C16" s="529"/>
      <c r="D16" s="529"/>
      <c r="E16" s="820"/>
      <c r="F16" s="530" t="s">
        <v>2102</v>
      </c>
      <c r="G16" s="817"/>
      <c r="H16" s="528" t="s">
        <v>2102</v>
      </c>
      <c r="I16" s="529"/>
      <c r="J16" s="529"/>
      <c r="K16" s="820"/>
      <c r="L16" s="530" t="s">
        <v>2102</v>
      </c>
    </row>
    <row r="17" spans="1:12" ht="16" thickBot="1" x14ac:dyDescent="0.25">
      <c r="A17" s="817"/>
      <c r="B17" s="528" t="s">
        <v>2103</v>
      </c>
      <c r="C17" s="529"/>
      <c r="D17" s="529"/>
      <c r="E17" s="820"/>
      <c r="F17" s="530" t="s">
        <v>2103</v>
      </c>
      <c r="G17" s="817"/>
      <c r="H17" s="528" t="s">
        <v>2103</v>
      </c>
      <c r="I17" s="529"/>
      <c r="J17" s="529"/>
      <c r="K17" s="820"/>
      <c r="L17" s="530" t="s">
        <v>2103</v>
      </c>
    </row>
    <row r="18" spans="1:12" ht="16" thickBot="1" x14ac:dyDescent="0.25">
      <c r="A18" s="817"/>
      <c r="B18" s="528" t="s">
        <v>2104</v>
      </c>
      <c r="C18" s="529"/>
      <c r="D18" s="529"/>
      <c r="E18" s="820"/>
      <c r="F18" s="530" t="s">
        <v>2105</v>
      </c>
      <c r="G18" s="817"/>
      <c r="H18" s="528" t="s">
        <v>2104</v>
      </c>
      <c r="I18" s="529"/>
      <c r="J18" s="529"/>
      <c r="K18" s="820"/>
      <c r="L18" s="530" t="s">
        <v>2105</v>
      </c>
    </row>
    <row r="19" spans="1:12" ht="16" thickBot="1" x14ac:dyDescent="0.25">
      <c r="A19" s="818"/>
      <c r="B19" s="531" t="s">
        <v>1993</v>
      </c>
      <c r="C19" s="532"/>
      <c r="D19" s="533"/>
      <c r="E19" s="821"/>
      <c r="F19" s="534" t="s">
        <v>2000</v>
      </c>
      <c r="G19" s="818"/>
      <c r="H19" s="531" t="s">
        <v>1993</v>
      </c>
      <c r="I19" s="532"/>
      <c r="J19" s="533">
        <v>0</v>
      </c>
      <c r="K19" s="821"/>
      <c r="L19" s="534" t="s">
        <v>2000</v>
      </c>
    </row>
    <row r="20" spans="1:12" ht="16" thickBot="1" x14ac:dyDescent="0.25">
      <c r="A20" s="816" t="s">
        <v>2106</v>
      </c>
      <c r="B20" s="528" t="s">
        <v>2093</v>
      </c>
      <c r="C20" s="529"/>
      <c r="D20" s="529"/>
      <c r="E20" s="819" t="s">
        <v>2106</v>
      </c>
      <c r="F20" s="530" t="s">
        <v>2093</v>
      </c>
      <c r="G20" s="816" t="s">
        <v>2106</v>
      </c>
      <c r="H20" s="528" t="s">
        <v>2093</v>
      </c>
      <c r="I20" s="529"/>
      <c r="J20" s="529">
        <v>0</v>
      </c>
      <c r="K20" s="819" t="s">
        <v>2106</v>
      </c>
      <c r="L20" s="530" t="s">
        <v>2093</v>
      </c>
    </row>
    <row r="21" spans="1:12" ht="16" thickBot="1" x14ac:dyDescent="0.25">
      <c r="A21" s="817"/>
      <c r="B21" s="528" t="s">
        <v>2094</v>
      </c>
      <c r="C21" s="529"/>
      <c r="D21" s="529"/>
      <c r="E21" s="820"/>
      <c r="F21" s="530" t="s">
        <v>2094</v>
      </c>
      <c r="G21" s="817"/>
      <c r="H21" s="528" t="s">
        <v>2094</v>
      </c>
      <c r="I21" s="529"/>
      <c r="J21" s="529"/>
      <c r="K21" s="820"/>
      <c r="L21" s="530" t="s">
        <v>2094</v>
      </c>
    </row>
    <row r="22" spans="1:12" ht="16" thickBot="1" x14ac:dyDescent="0.25">
      <c r="A22" s="817"/>
      <c r="B22" s="528" t="s">
        <v>2095</v>
      </c>
      <c r="C22" s="529"/>
      <c r="D22" s="529"/>
      <c r="E22" s="820"/>
      <c r="F22" s="530" t="s">
        <v>2095</v>
      </c>
      <c r="G22" s="817"/>
      <c r="H22" s="528" t="s">
        <v>2095</v>
      </c>
      <c r="I22" s="529"/>
      <c r="J22" s="529"/>
      <c r="K22" s="820"/>
      <c r="L22" s="530" t="s">
        <v>2095</v>
      </c>
    </row>
    <row r="23" spans="1:12" ht="16" thickBot="1" x14ac:dyDescent="0.25">
      <c r="A23" s="817"/>
      <c r="B23" s="528" t="s">
        <v>2096</v>
      </c>
      <c r="C23" s="529"/>
      <c r="D23" s="529"/>
      <c r="E23" s="820"/>
      <c r="F23" s="530" t="s">
        <v>2096</v>
      </c>
      <c r="G23" s="817"/>
      <c r="H23" s="528" t="s">
        <v>2096</v>
      </c>
      <c r="I23" s="529"/>
      <c r="J23" s="529"/>
      <c r="K23" s="820"/>
      <c r="L23" s="530" t="s">
        <v>2096</v>
      </c>
    </row>
    <row r="24" spans="1:12" ht="16" thickBot="1" x14ac:dyDescent="0.25">
      <c r="A24" s="817"/>
      <c r="B24" s="528" t="s">
        <v>2097</v>
      </c>
      <c r="C24" s="529"/>
      <c r="D24" s="529"/>
      <c r="E24" s="820"/>
      <c r="F24" s="530" t="s">
        <v>2097</v>
      </c>
      <c r="G24" s="817"/>
      <c r="H24" s="528" t="s">
        <v>2097</v>
      </c>
      <c r="I24" s="529"/>
      <c r="J24" s="529"/>
      <c r="K24" s="820"/>
      <c r="L24" s="530" t="s">
        <v>2097</v>
      </c>
    </row>
    <row r="25" spans="1:12" ht="16" thickBot="1" x14ac:dyDescent="0.25">
      <c r="A25" s="817"/>
      <c r="B25" s="528" t="s">
        <v>2098</v>
      </c>
      <c r="C25" s="529"/>
      <c r="D25" s="529"/>
      <c r="E25" s="820"/>
      <c r="F25" s="530" t="s">
        <v>2098</v>
      </c>
      <c r="G25" s="817"/>
      <c r="H25" s="528" t="s">
        <v>2098</v>
      </c>
      <c r="I25" s="529"/>
      <c r="J25" s="529"/>
      <c r="K25" s="820"/>
      <c r="L25" s="530" t="s">
        <v>2098</v>
      </c>
    </row>
    <row r="26" spans="1:12" ht="16" thickBot="1" x14ac:dyDescent="0.25">
      <c r="A26" s="817"/>
      <c r="B26" s="528" t="s">
        <v>2099</v>
      </c>
      <c r="C26" s="529"/>
      <c r="D26" s="529"/>
      <c r="E26" s="820"/>
      <c r="F26" s="530" t="s">
        <v>2099</v>
      </c>
      <c r="G26" s="817"/>
      <c r="H26" s="528" t="s">
        <v>2099</v>
      </c>
      <c r="I26" s="529"/>
      <c r="J26" s="529"/>
      <c r="K26" s="820"/>
      <c r="L26" s="530" t="s">
        <v>2099</v>
      </c>
    </row>
    <row r="27" spans="1:12" ht="16" thickBot="1" x14ac:dyDescent="0.25">
      <c r="A27" s="817"/>
      <c r="B27" s="528" t="s">
        <v>2100</v>
      </c>
      <c r="C27" s="529"/>
      <c r="D27" s="529"/>
      <c r="E27" s="820"/>
      <c r="F27" s="530" t="s">
        <v>2100</v>
      </c>
      <c r="G27" s="817"/>
      <c r="H27" s="528" t="s">
        <v>2100</v>
      </c>
      <c r="I27" s="529"/>
      <c r="J27" s="529"/>
      <c r="K27" s="820"/>
      <c r="L27" s="530" t="s">
        <v>2100</v>
      </c>
    </row>
    <row r="28" spans="1:12" ht="16" thickBot="1" x14ac:dyDescent="0.25">
      <c r="A28" s="817"/>
      <c r="B28" s="528" t="s">
        <v>2101</v>
      </c>
      <c r="C28" s="529"/>
      <c r="D28" s="529"/>
      <c r="E28" s="820"/>
      <c r="F28" s="530" t="s">
        <v>2101</v>
      </c>
      <c r="G28" s="817"/>
      <c r="H28" s="528" t="s">
        <v>2101</v>
      </c>
      <c r="I28" s="529"/>
      <c r="J28" s="529"/>
      <c r="K28" s="820"/>
      <c r="L28" s="530" t="s">
        <v>2101</v>
      </c>
    </row>
    <row r="29" spans="1:12" ht="16" thickBot="1" x14ac:dyDescent="0.25">
      <c r="A29" s="817"/>
      <c r="B29" s="528" t="s">
        <v>2102</v>
      </c>
      <c r="C29" s="529"/>
      <c r="D29" s="529"/>
      <c r="E29" s="820"/>
      <c r="F29" s="530" t="s">
        <v>2102</v>
      </c>
      <c r="G29" s="817"/>
      <c r="H29" s="528" t="s">
        <v>2102</v>
      </c>
      <c r="I29" s="529"/>
      <c r="J29" s="529"/>
      <c r="K29" s="820"/>
      <c r="L29" s="530" t="s">
        <v>2102</v>
      </c>
    </row>
    <row r="30" spans="1:12" ht="16" thickBot="1" x14ac:dyDescent="0.25">
      <c r="A30" s="817"/>
      <c r="B30" s="528" t="s">
        <v>2103</v>
      </c>
      <c r="C30" s="529"/>
      <c r="D30" s="529"/>
      <c r="E30" s="820"/>
      <c r="F30" s="530" t="s">
        <v>2103</v>
      </c>
      <c r="G30" s="817"/>
      <c r="H30" s="528" t="s">
        <v>2103</v>
      </c>
      <c r="I30" s="529"/>
      <c r="J30" s="529"/>
      <c r="K30" s="820"/>
      <c r="L30" s="530" t="s">
        <v>2103</v>
      </c>
    </row>
    <row r="31" spans="1:12" ht="16" thickBot="1" x14ac:dyDescent="0.25">
      <c r="A31" s="817"/>
      <c r="B31" s="528" t="s">
        <v>2104</v>
      </c>
      <c r="C31" s="529"/>
      <c r="D31" s="529"/>
      <c r="E31" s="820"/>
      <c r="F31" s="530" t="s">
        <v>2105</v>
      </c>
      <c r="G31" s="817"/>
      <c r="H31" s="528" t="s">
        <v>2104</v>
      </c>
      <c r="I31" s="529"/>
      <c r="J31" s="529"/>
      <c r="K31" s="820"/>
      <c r="L31" s="530" t="s">
        <v>2105</v>
      </c>
    </row>
    <row r="32" spans="1:12" ht="16" thickBot="1" x14ac:dyDescent="0.25">
      <c r="A32" s="818"/>
      <c r="B32" s="531" t="s">
        <v>1993</v>
      </c>
      <c r="C32" s="532"/>
      <c r="D32" s="533"/>
      <c r="E32" s="821"/>
      <c r="F32" s="534" t="s">
        <v>2000</v>
      </c>
      <c r="G32" s="818"/>
      <c r="H32" s="531" t="s">
        <v>1993</v>
      </c>
      <c r="I32" s="532"/>
      <c r="J32" s="533">
        <v>0</v>
      </c>
      <c r="K32" s="821"/>
      <c r="L32" s="534" t="s">
        <v>2000</v>
      </c>
    </row>
    <row r="33" spans="1:12" ht="16" thickBot="1" x14ac:dyDescent="0.25">
      <c r="A33" s="816" t="s">
        <v>2107</v>
      </c>
      <c r="B33" s="528" t="s">
        <v>2093</v>
      </c>
      <c r="C33" s="529"/>
      <c r="D33" s="529"/>
      <c r="E33" s="819" t="s">
        <v>2107</v>
      </c>
      <c r="F33" s="530" t="s">
        <v>2093</v>
      </c>
      <c r="G33" s="816" t="s">
        <v>2107</v>
      </c>
      <c r="H33" s="528" t="s">
        <v>2093</v>
      </c>
      <c r="I33" s="529"/>
      <c r="J33" s="529">
        <v>0</v>
      </c>
      <c r="K33" s="819" t="s">
        <v>2107</v>
      </c>
      <c r="L33" s="530" t="s">
        <v>2093</v>
      </c>
    </row>
    <row r="34" spans="1:12" ht="16" thickBot="1" x14ac:dyDescent="0.25">
      <c r="A34" s="817"/>
      <c r="B34" s="528" t="s">
        <v>2094</v>
      </c>
      <c r="C34" s="529"/>
      <c r="D34" s="529"/>
      <c r="E34" s="820"/>
      <c r="F34" s="530" t="s">
        <v>2094</v>
      </c>
      <c r="G34" s="817"/>
      <c r="H34" s="528" t="s">
        <v>2094</v>
      </c>
      <c r="I34" s="529"/>
      <c r="J34" s="529"/>
      <c r="K34" s="820"/>
      <c r="L34" s="530" t="s">
        <v>2094</v>
      </c>
    </row>
    <row r="35" spans="1:12" ht="16" thickBot="1" x14ac:dyDescent="0.25">
      <c r="A35" s="817"/>
      <c r="B35" s="528" t="s">
        <v>2095</v>
      </c>
      <c r="C35" s="529"/>
      <c r="D35" s="529"/>
      <c r="E35" s="820"/>
      <c r="F35" s="530" t="s">
        <v>2095</v>
      </c>
      <c r="G35" s="817"/>
      <c r="H35" s="528" t="s">
        <v>2095</v>
      </c>
      <c r="I35" s="529"/>
      <c r="J35" s="529"/>
      <c r="K35" s="820"/>
      <c r="L35" s="530" t="s">
        <v>2095</v>
      </c>
    </row>
    <row r="36" spans="1:12" ht="16" thickBot="1" x14ac:dyDescent="0.25">
      <c r="A36" s="817"/>
      <c r="B36" s="528" t="s">
        <v>2096</v>
      </c>
      <c r="C36" s="529"/>
      <c r="D36" s="529"/>
      <c r="E36" s="820"/>
      <c r="F36" s="530" t="s">
        <v>2096</v>
      </c>
      <c r="G36" s="817"/>
      <c r="H36" s="528" t="s">
        <v>2096</v>
      </c>
      <c r="I36" s="529"/>
      <c r="J36" s="529"/>
      <c r="K36" s="820"/>
      <c r="L36" s="530" t="s">
        <v>2096</v>
      </c>
    </row>
    <row r="37" spans="1:12" ht="16" thickBot="1" x14ac:dyDescent="0.25">
      <c r="A37" s="817"/>
      <c r="B37" s="528" t="s">
        <v>2097</v>
      </c>
      <c r="C37" s="529"/>
      <c r="D37" s="529"/>
      <c r="E37" s="820"/>
      <c r="F37" s="530" t="s">
        <v>2097</v>
      </c>
      <c r="G37" s="817"/>
      <c r="H37" s="528" t="s">
        <v>2097</v>
      </c>
      <c r="I37" s="529"/>
      <c r="J37" s="529"/>
      <c r="K37" s="820"/>
      <c r="L37" s="530" t="s">
        <v>2097</v>
      </c>
    </row>
    <row r="38" spans="1:12" ht="16" thickBot="1" x14ac:dyDescent="0.25">
      <c r="A38" s="817"/>
      <c r="B38" s="528" t="s">
        <v>2098</v>
      </c>
      <c r="C38" s="529"/>
      <c r="D38" s="529"/>
      <c r="E38" s="820"/>
      <c r="F38" s="530" t="s">
        <v>2098</v>
      </c>
      <c r="G38" s="817"/>
      <c r="H38" s="528" t="s">
        <v>2098</v>
      </c>
      <c r="I38" s="529"/>
      <c r="J38" s="529"/>
      <c r="K38" s="820"/>
      <c r="L38" s="530" t="s">
        <v>2098</v>
      </c>
    </row>
    <row r="39" spans="1:12" ht="16" thickBot="1" x14ac:dyDescent="0.25">
      <c r="A39" s="817"/>
      <c r="B39" s="528" t="s">
        <v>2099</v>
      </c>
      <c r="C39" s="529"/>
      <c r="D39" s="529"/>
      <c r="E39" s="820"/>
      <c r="F39" s="530" t="s">
        <v>2099</v>
      </c>
      <c r="G39" s="817"/>
      <c r="H39" s="528" t="s">
        <v>2099</v>
      </c>
      <c r="I39" s="529"/>
      <c r="J39" s="529"/>
      <c r="K39" s="820"/>
      <c r="L39" s="530" t="s">
        <v>2099</v>
      </c>
    </row>
    <row r="40" spans="1:12" ht="16" thickBot="1" x14ac:dyDescent="0.25">
      <c r="A40" s="817"/>
      <c r="B40" s="528" t="s">
        <v>2100</v>
      </c>
      <c r="C40" s="529"/>
      <c r="D40" s="529"/>
      <c r="E40" s="820"/>
      <c r="F40" s="530" t="s">
        <v>2100</v>
      </c>
      <c r="G40" s="817"/>
      <c r="H40" s="528" t="s">
        <v>2100</v>
      </c>
      <c r="I40" s="529"/>
      <c r="J40" s="529"/>
      <c r="K40" s="820"/>
      <c r="L40" s="530" t="s">
        <v>2100</v>
      </c>
    </row>
    <row r="41" spans="1:12" ht="16" thickBot="1" x14ac:dyDescent="0.25">
      <c r="A41" s="817"/>
      <c r="B41" s="528" t="s">
        <v>2101</v>
      </c>
      <c r="C41" s="529"/>
      <c r="D41" s="529"/>
      <c r="E41" s="820"/>
      <c r="F41" s="530" t="s">
        <v>2101</v>
      </c>
      <c r="G41" s="817"/>
      <c r="H41" s="528" t="s">
        <v>2101</v>
      </c>
      <c r="I41" s="529"/>
      <c r="J41" s="529"/>
      <c r="K41" s="820"/>
      <c r="L41" s="530" t="s">
        <v>2101</v>
      </c>
    </row>
    <row r="42" spans="1:12" ht="16" thickBot="1" x14ac:dyDescent="0.25">
      <c r="A42" s="817"/>
      <c r="B42" s="528" t="s">
        <v>2102</v>
      </c>
      <c r="C42" s="529"/>
      <c r="D42" s="529"/>
      <c r="E42" s="820"/>
      <c r="F42" s="530" t="s">
        <v>2102</v>
      </c>
      <c r="G42" s="817"/>
      <c r="H42" s="528" t="s">
        <v>2102</v>
      </c>
      <c r="I42" s="529"/>
      <c r="J42" s="529"/>
      <c r="K42" s="820"/>
      <c r="L42" s="530" t="s">
        <v>2102</v>
      </c>
    </row>
    <row r="43" spans="1:12" ht="16" thickBot="1" x14ac:dyDescent="0.25">
      <c r="A43" s="817"/>
      <c r="B43" s="528" t="s">
        <v>2103</v>
      </c>
      <c r="C43" s="529"/>
      <c r="D43" s="529"/>
      <c r="E43" s="820"/>
      <c r="F43" s="530" t="s">
        <v>2103</v>
      </c>
      <c r="G43" s="817"/>
      <c r="H43" s="528" t="s">
        <v>2103</v>
      </c>
      <c r="I43" s="529"/>
      <c r="J43" s="529"/>
      <c r="K43" s="820"/>
      <c r="L43" s="530" t="s">
        <v>2103</v>
      </c>
    </row>
    <row r="44" spans="1:12" ht="16" thickBot="1" x14ac:dyDescent="0.25">
      <c r="A44" s="817"/>
      <c r="B44" s="528" t="s">
        <v>2104</v>
      </c>
      <c r="C44" s="529"/>
      <c r="D44" s="529"/>
      <c r="E44" s="820"/>
      <c r="F44" s="530" t="s">
        <v>2105</v>
      </c>
      <c r="G44" s="817"/>
      <c r="H44" s="528" t="s">
        <v>2104</v>
      </c>
      <c r="I44" s="529"/>
      <c r="J44" s="529"/>
      <c r="K44" s="820"/>
      <c r="L44" s="530" t="s">
        <v>2105</v>
      </c>
    </row>
    <row r="45" spans="1:12" ht="16" thickBot="1" x14ac:dyDescent="0.25">
      <c r="A45" s="818"/>
      <c r="B45" s="531" t="s">
        <v>1993</v>
      </c>
      <c r="C45" s="532"/>
      <c r="D45" s="533"/>
      <c r="E45" s="821"/>
      <c r="F45" s="534" t="s">
        <v>2000</v>
      </c>
      <c r="G45" s="818"/>
      <c r="H45" s="531" t="s">
        <v>1993</v>
      </c>
      <c r="I45" s="532"/>
      <c r="J45" s="533">
        <v>0</v>
      </c>
      <c r="K45" s="821"/>
      <c r="L45" s="534" t="s">
        <v>2000</v>
      </c>
    </row>
    <row r="46" spans="1:12" ht="16" thickBot="1" x14ac:dyDescent="0.25">
      <c r="A46" s="816" t="s">
        <v>2108</v>
      </c>
      <c r="B46" s="528" t="s">
        <v>2093</v>
      </c>
      <c r="C46" s="529"/>
      <c r="D46" s="529"/>
      <c r="E46" s="819" t="s">
        <v>2108</v>
      </c>
      <c r="F46" s="530" t="s">
        <v>2093</v>
      </c>
      <c r="G46" s="816" t="s">
        <v>2108</v>
      </c>
      <c r="H46" s="528" t="s">
        <v>2093</v>
      </c>
      <c r="I46" s="529"/>
      <c r="J46" s="529"/>
      <c r="K46" s="819" t="s">
        <v>2108</v>
      </c>
      <c r="L46" s="530" t="s">
        <v>2093</v>
      </c>
    </row>
    <row r="47" spans="1:12" ht="16" thickBot="1" x14ac:dyDescent="0.25">
      <c r="A47" s="817"/>
      <c r="B47" s="528" t="s">
        <v>2094</v>
      </c>
      <c r="C47" s="529"/>
      <c r="D47" s="529"/>
      <c r="E47" s="820"/>
      <c r="F47" s="530" t="s">
        <v>2094</v>
      </c>
      <c r="G47" s="817"/>
      <c r="H47" s="528" t="s">
        <v>2094</v>
      </c>
      <c r="I47" s="529"/>
      <c r="J47" s="529"/>
      <c r="K47" s="820"/>
      <c r="L47" s="530" t="s">
        <v>2094</v>
      </c>
    </row>
    <row r="48" spans="1:12" ht="16" thickBot="1" x14ac:dyDescent="0.25">
      <c r="A48" s="817"/>
      <c r="B48" s="528" t="s">
        <v>2095</v>
      </c>
      <c r="C48" s="529"/>
      <c r="D48" s="529"/>
      <c r="E48" s="820"/>
      <c r="F48" s="530" t="s">
        <v>2095</v>
      </c>
      <c r="G48" s="817"/>
      <c r="H48" s="528" t="s">
        <v>2095</v>
      </c>
      <c r="I48" s="529"/>
      <c r="J48" s="529"/>
      <c r="K48" s="820"/>
      <c r="L48" s="530" t="s">
        <v>2095</v>
      </c>
    </row>
    <row r="49" spans="1:12" ht="16" thickBot="1" x14ac:dyDescent="0.25">
      <c r="A49" s="817"/>
      <c r="B49" s="528" t="s">
        <v>2096</v>
      </c>
      <c r="C49" s="529"/>
      <c r="D49" s="529"/>
      <c r="E49" s="820"/>
      <c r="F49" s="530" t="s">
        <v>2096</v>
      </c>
      <c r="G49" s="817"/>
      <c r="H49" s="528" t="s">
        <v>2096</v>
      </c>
      <c r="I49" s="529"/>
      <c r="J49" s="529"/>
      <c r="K49" s="820"/>
      <c r="L49" s="530" t="s">
        <v>2096</v>
      </c>
    </row>
    <row r="50" spans="1:12" ht="16" thickBot="1" x14ac:dyDescent="0.25">
      <c r="A50" s="817"/>
      <c r="B50" s="528" t="s">
        <v>2097</v>
      </c>
      <c r="C50" s="529"/>
      <c r="D50" s="529"/>
      <c r="E50" s="820"/>
      <c r="F50" s="530" t="s">
        <v>2097</v>
      </c>
      <c r="G50" s="817"/>
      <c r="H50" s="528" t="s">
        <v>2097</v>
      </c>
      <c r="I50" s="529"/>
      <c r="J50" s="529"/>
      <c r="K50" s="820"/>
      <c r="L50" s="530" t="s">
        <v>2097</v>
      </c>
    </row>
    <row r="51" spans="1:12" ht="16" thickBot="1" x14ac:dyDescent="0.25">
      <c r="A51" s="817"/>
      <c r="B51" s="528" t="s">
        <v>2098</v>
      </c>
      <c r="C51" s="529"/>
      <c r="D51" s="529"/>
      <c r="E51" s="820"/>
      <c r="F51" s="530" t="s">
        <v>2098</v>
      </c>
      <c r="G51" s="817"/>
      <c r="H51" s="528" t="s">
        <v>2098</v>
      </c>
      <c r="I51" s="529"/>
      <c r="J51" s="529"/>
      <c r="K51" s="820"/>
      <c r="L51" s="530" t="s">
        <v>2098</v>
      </c>
    </row>
    <row r="52" spans="1:12" ht="16" thickBot="1" x14ac:dyDescent="0.25">
      <c r="A52" s="817"/>
      <c r="B52" s="528" t="s">
        <v>2099</v>
      </c>
      <c r="C52" s="529"/>
      <c r="D52" s="529"/>
      <c r="E52" s="820"/>
      <c r="F52" s="530" t="s">
        <v>2099</v>
      </c>
      <c r="G52" s="817"/>
      <c r="H52" s="528" t="s">
        <v>2099</v>
      </c>
      <c r="I52" s="529"/>
      <c r="J52" s="529"/>
      <c r="K52" s="820"/>
      <c r="L52" s="530" t="s">
        <v>2099</v>
      </c>
    </row>
    <row r="53" spans="1:12" ht="16" thickBot="1" x14ac:dyDescent="0.25">
      <c r="A53" s="817"/>
      <c r="B53" s="528" t="s">
        <v>2100</v>
      </c>
      <c r="C53" s="529"/>
      <c r="D53" s="529"/>
      <c r="E53" s="820"/>
      <c r="F53" s="530" t="s">
        <v>2100</v>
      </c>
      <c r="G53" s="817"/>
      <c r="H53" s="528" t="s">
        <v>2100</v>
      </c>
      <c r="I53" s="529"/>
      <c r="J53" s="529"/>
      <c r="K53" s="820"/>
      <c r="L53" s="530" t="s">
        <v>2100</v>
      </c>
    </row>
    <row r="54" spans="1:12" ht="16" thickBot="1" x14ac:dyDescent="0.25">
      <c r="A54" s="817"/>
      <c r="B54" s="528" t="s">
        <v>2101</v>
      </c>
      <c r="C54" s="529"/>
      <c r="D54" s="529"/>
      <c r="E54" s="820"/>
      <c r="F54" s="530" t="s">
        <v>2101</v>
      </c>
      <c r="G54" s="817"/>
      <c r="H54" s="528" t="s">
        <v>2101</v>
      </c>
      <c r="I54" s="529"/>
      <c r="J54" s="529"/>
      <c r="K54" s="820"/>
      <c r="L54" s="530" t="s">
        <v>2101</v>
      </c>
    </row>
    <row r="55" spans="1:12" ht="16" thickBot="1" x14ac:dyDescent="0.25">
      <c r="A55" s="817"/>
      <c r="B55" s="528" t="s">
        <v>2102</v>
      </c>
      <c r="C55" s="529"/>
      <c r="D55" s="529"/>
      <c r="E55" s="820"/>
      <c r="F55" s="530" t="s">
        <v>2102</v>
      </c>
      <c r="G55" s="817"/>
      <c r="H55" s="528" t="s">
        <v>2102</v>
      </c>
      <c r="I55" s="529"/>
      <c r="J55" s="529"/>
      <c r="K55" s="820"/>
      <c r="L55" s="530" t="s">
        <v>2102</v>
      </c>
    </row>
    <row r="56" spans="1:12" ht="16" thickBot="1" x14ac:dyDescent="0.25">
      <c r="A56" s="817"/>
      <c r="B56" s="528" t="s">
        <v>2103</v>
      </c>
      <c r="C56" s="529"/>
      <c r="D56" s="529"/>
      <c r="E56" s="820"/>
      <c r="F56" s="530" t="s">
        <v>2103</v>
      </c>
      <c r="G56" s="817"/>
      <c r="H56" s="528" t="s">
        <v>2103</v>
      </c>
      <c r="I56" s="529"/>
      <c r="J56" s="529"/>
      <c r="K56" s="820"/>
      <c r="L56" s="530" t="s">
        <v>2103</v>
      </c>
    </row>
    <row r="57" spans="1:12" ht="16" thickBot="1" x14ac:dyDescent="0.25">
      <c r="A57" s="817"/>
      <c r="B57" s="528" t="s">
        <v>2104</v>
      </c>
      <c r="C57" s="529"/>
      <c r="D57" s="529"/>
      <c r="E57" s="820"/>
      <c r="F57" s="530" t="s">
        <v>2105</v>
      </c>
      <c r="G57" s="817"/>
      <c r="H57" s="528" t="s">
        <v>2104</v>
      </c>
      <c r="I57" s="529"/>
      <c r="J57" s="529"/>
      <c r="K57" s="820"/>
      <c r="L57" s="530" t="s">
        <v>2105</v>
      </c>
    </row>
    <row r="58" spans="1:12" ht="16" thickBot="1" x14ac:dyDescent="0.25">
      <c r="A58" s="818"/>
      <c r="B58" s="531" t="s">
        <v>1993</v>
      </c>
      <c r="C58" s="532"/>
      <c r="D58" s="533"/>
      <c r="E58" s="821"/>
      <c r="F58" s="534" t="s">
        <v>2000</v>
      </c>
      <c r="G58" s="818"/>
      <c r="H58" s="531" t="s">
        <v>1993</v>
      </c>
      <c r="I58" s="532"/>
      <c r="J58" s="533">
        <v>0</v>
      </c>
      <c r="K58" s="821"/>
      <c r="L58" s="534" t="s">
        <v>2000</v>
      </c>
    </row>
    <row r="59" spans="1:12" ht="16" thickBot="1" x14ac:dyDescent="0.25">
      <c r="A59" s="816" t="s">
        <v>2109</v>
      </c>
      <c r="B59" s="528" t="s">
        <v>2093</v>
      </c>
      <c r="C59" s="529"/>
      <c r="D59" s="529"/>
      <c r="E59" s="819" t="s">
        <v>2109</v>
      </c>
      <c r="F59" s="530" t="s">
        <v>2093</v>
      </c>
      <c r="G59" s="816" t="s">
        <v>2109</v>
      </c>
      <c r="H59" s="528" t="s">
        <v>2093</v>
      </c>
      <c r="I59" s="529"/>
      <c r="J59" s="529"/>
      <c r="K59" s="819" t="s">
        <v>2109</v>
      </c>
      <c r="L59" s="530" t="s">
        <v>2093</v>
      </c>
    </row>
    <row r="60" spans="1:12" ht="16" thickBot="1" x14ac:dyDescent="0.25">
      <c r="A60" s="817"/>
      <c r="B60" s="528" t="s">
        <v>2094</v>
      </c>
      <c r="C60" s="529"/>
      <c r="D60" s="529"/>
      <c r="E60" s="820"/>
      <c r="F60" s="530" t="s">
        <v>2094</v>
      </c>
      <c r="G60" s="817"/>
      <c r="H60" s="528" t="s">
        <v>2094</v>
      </c>
      <c r="I60" s="529"/>
      <c r="J60" s="529"/>
      <c r="K60" s="820"/>
      <c r="L60" s="530" t="s">
        <v>2094</v>
      </c>
    </row>
    <row r="61" spans="1:12" ht="16" thickBot="1" x14ac:dyDescent="0.25">
      <c r="A61" s="817"/>
      <c r="B61" s="528" t="s">
        <v>2095</v>
      </c>
      <c r="C61" s="529"/>
      <c r="D61" s="529"/>
      <c r="E61" s="820"/>
      <c r="F61" s="530" t="s">
        <v>2095</v>
      </c>
      <c r="G61" s="817"/>
      <c r="H61" s="528" t="s">
        <v>2095</v>
      </c>
      <c r="I61" s="529"/>
      <c r="J61" s="529"/>
      <c r="K61" s="820"/>
      <c r="L61" s="530" t="s">
        <v>2095</v>
      </c>
    </row>
    <row r="62" spans="1:12" ht="16" thickBot="1" x14ac:dyDescent="0.25">
      <c r="A62" s="817"/>
      <c r="B62" s="528" t="s">
        <v>2096</v>
      </c>
      <c r="C62" s="529"/>
      <c r="D62" s="529"/>
      <c r="E62" s="820"/>
      <c r="F62" s="530" t="s">
        <v>2096</v>
      </c>
      <c r="G62" s="817"/>
      <c r="H62" s="528" t="s">
        <v>2096</v>
      </c>
      <c r="I62" s="529"/>
      <c r="J62" s="529"/>
      <c r="K62" s="820"/>
      <c r="L62" s="530" t="s">
        <v>2096</v>
      </c>
    </row>
    <row r="63" spans="1:12" ht="16" thickBot="1" x14ac:dyDescent="0.25">
      <c r="A63" s="817"/>
      <c r="B63" s="528" t="s">
        <v>2097</v>
      </c>
      <c r="C63" s="529"/>
      <c r="D63" s="529"/>
      <c r="E63" s="820"/>
      <c r="F63" s="530" t="s">
        <v>2097</v>
      </c>
      <c r="G63" s="817"/>
      <c r="H63" s="528" t="s">
        <v>2097</v>
      </c>
      <c r="I63" s="529"/>
      <c r="J63" s="529"/>
      <c r="K63" s="820"/>
      <c r="L63" s="530" t="s">
        <v>2097</v>
      </c>
    </row>
    <row r="64" spans="1:12" ht="16" thickBot="1" x14ac:dyDescent="0.25">
      <c r="A64" s="817"/>
      <c r="B64" s="528" t="s">
        <v>2098</v>
      </c>
      <c r="C64" s="529"/>
      <c r="D64" s="529"/>
      <c r="E64" s="820"/>
      <c r="F64" s="530" t="s">
        <v>2098</v>
      </c>
      <c r="G64" s="817"/>
      <c r="H64" s="528" t="s">
        <v>2098</v>
      </c>
      <c r="I64" s="529"/>
      <c r="J64" s="529"/>
      <c r="K64" s="820"/>
      <c r="L64" s="530" t="s">
        <v>2098</v>
      </c>
    </row>
    <row r="65" spans="1:12" ht="16" thickBot="1" x14ac:dyDescent="0.25">
      <c r="A65" s="817"/>
      <c r="B65" s="528" t="s">
        <v>2099</v>
      </c>
      <c r="C65" s="529"/>
      <c r="D65" s="529"/>
      <c r="E65" s="820"/>
      <c r="F65" s="530" t="s">
        <v>2099</v>
      </c>
      <c r="G65" s="817"/>
      <c r="H65" s="528" t="s">
        <v>2099</v>
      </c>
      <c r="I65" s="529"/>
      <c r="J65" s="529"/>
      <c r="K65" s="820"/>
      <c r="L65" s="530" t="s">
        <v>2099</v>
      </c>
    </row>
    <row r="66" spans="1:12" ht="16" thickBot="1" x14ac:dyDescent="0.25">
      <c r="A66" s="817"/>
      <c r="B66" s="528" t="s">
        <v>2100</v>
      </c>
      <c r="C66" s="529"/>
      <c r="D66" s="529"/>
      <c r="E66" s="820"/>
      <c r="F66" s="530" t="s">
        <v>2100</v>
      </c>
      <c r="G66" s="817"/>
      <c r="H66" s="528" t="s">
        <v>2100</v>
      </c>
      <c r="I66" s="529"/>
      <c r="J66" s="529"/>
      <c r="K66" s="820"/>
      <c r="L66" s="530" t="s">
        <v>2100</v>
      </c>
    </row>
    <row r="67" spans="1:12" ht="16" thickBot="1" x14ac:dyDescent="0.25">
      <c r="A67" s="817"/>
      <c r="B67" s="528" t="s">
        <v>2101</v>
      </c>
      <c r="C67" s="529"/>
      <c r="D67" s="529"/>
      <c r="E67" s="820"/>
      <c r="F67" s="530" t="s">
        <v>2101</v>
      </c>
      <c r="G67" s="817"/>
      <c r="H67" s="528" t="s">
        <v>2101</v>
      </c>
      <c r="I67" s="529"/>
      <c r="J67" s="529"/>
      <c r="K67" s="820"/>
      <c r="L67" s="530" t="s">
        <v>2101</v>
      </c>
    </row>
    <row r="68" spans="1:12" ht="16" thickBot="1" x14ac:dyDescent="0.25">
      <c r="A68" s="817"/>
      <c r="B68" s="528" t="s">
        <v>2102</v>
      </c>
      <c r="C68" s="529"/>
      <c r="D68" s="529"/>
      <c r="E68" s="820"/>
      <c r="F68" s="530" t="s">
        <v>2102</v>
      </c>
      <c r="G68" s="817"/>
      <c r="H68" s="528" t="s">
        <v>2102</v>
      </c>
      <c r="I68" s="529"/>
      <c r="J68" s="529"/>
      <c r="K68" s="820"/>
      <c r="L68" s="530" t="s">
        <v>2102</v>
      </c>
    </row>
    <row r="69" spans="1:12" ht="16" thickBot="1" x14ac:dyDescent="0.25">
      <c r="A69" s="817"/>
      <c r="B69" s="528" t="s">
        <v>2103</v>
      </c>
      <c r="C69" s="529"/>
      <c r="D69" s="529"/>
      <c r="E69" s="820"/>
      <c r="F69" s="530" t="s">
        <v>2103</v>
      </c>
      <c r="G69" s="817"/>
      <c r="H69" s="528" t="s">
        <v>2103</v>
      </c>
      <c r="I69" s="529"/>
      <c r="J69" s="529"/>
      <c r="K69" s="820"/>
      <c r="L69" s="530" t="s">
        <v>2103</v>
      </c>
    </row>
    <row r="70" spans="1:12" ht="16" thickBot="1" x14ac:dyDescent="0.25">
      <c r="A70" s="817"/>
      <c r="B70" s="528" t="s">
        <v>2104</v>
      </c>
      <c r="C70" s="529"/>
      <c r="D70" s="529"/>
      <c r="E70" s="820"/>
      <c r="F70" s="530" t="s">
        <v>2105</v>
      </c>
      <c r="G70" s="817"/>
      <c r="H70" s="528" t="s">
        <v>2104</v>
      </c>
      <c r="I70" s="529"/>
      <c r="J70" s="529"/>
      <c r="K70" s="820"/>
      <c r="L70" s="530" t="s">
        <v>2105</v>
      </c>
    </row>
    <row r="71" spans="1:12" ht="16" thickBot="1" x14ac:dyDescent="0.25">
      <c r="A71" s="818"/>
      <c r="B71" s="531" t="s">
        <v>1993</v>
      </c>
      <c r="C71" s="532"/>
      <c r="D71" s="533"/>
      <c r="E71" s="821"/>
      <c r="F71" s="534" t="s">
        <v>2000</v>
      </c>
      <c r="G71" s="818"/>
      <c r="H71" s="531" t="s">
        <v>1993</v>
      </c>
      <c r="I71" s="532"/>
      <c r="J71" s="533">
        <v>0</v>
      </c>
      <c r="K71" s="821"/>
      <c r="L71" s="534" t="s">
        <v>2000</v>
      </c>
    </row>
    <row r="72" spans="1:12" ht="16" thickBot="1" x14ac:dyDescent="0.25">
      <c r="A72" s="816" t="s">
        <v>2110</v>
      </c>
      <c r="B72" s="528" t="s">
        <v>2093</v>
      </c>
      <c r="C72" s="529"/>
      <c r="D72" s="529"/>
      <c r="E72" s="819" t="s">
        <v>2110</v>
      </c>
      <c r="F72" s="530" t="s">
        <v>2093</v>
      </c>
      <c r="G72" s="816" t="s">
        <v>2110</v>
      </c>
      <c r="H72" s="528" t="s">
        <v>2093</v>
      </c>
      <c r="I72" s="529"/>
      <c r="J72" s="529"/>
      <c r="K72" s="819" t="s">
        <v>2110</v>
      </c>
      <c r="L72" s="530" t="s">
        <v>2093</v>
      </c>
    </row>
    <row r="73" spans="1:12" ht="16" thickBot="1" x14ac:dyDescent="0.25">
      <c r="A73" s="817"/>
      <c r="B73" s="528" t="s">
        <v>2094</v>
      </c>
      <c r="C73" s="529"/>
      <c r="D73" s="529"/>
      <c r="E73" s="820"/>
      <c r="F73" s="530" t="s">
        <v>2094</v>
      </c>
      <c r="G73" s="817"/>
      <c r="H73" s="528" t="s">
        <v>2094</v>
      </c>
      <c r="I73" s="529"/>
      <c r="J73" s="529"/>
      <c r="K73" s="820"/>
      <c r="L73" s="530" t="s">
        <v>2094</v>
      </c>
    </row>
    <row r="74" spans="1:12" ht="16" thickBot="1" x14ac:dyDescent="0.25">
      <c r="A74" s="817"/>
      <c r="B74" s="528" t="s">
        <v>2095</v>
      </c>
      <c r="C74" s="529"/>
      <c r="D74" s="529"/>
      <c r="E74" s="820"/>
      <c r="F74" s="530" t="s">
        <v>2095</v>
      </c>
      <c r="G74" s="817"/>
      <c r="H74" s="528" t="s">
        <v>2095</v>
      </c>
      <c r="I74" s="529"/>
      <c r="J74" s="529"/>
      <c r="K74" s="820"/>
      <c r="L74" s="530" t="s">
        <v>2095</v>
      </c>
    </row>
    <row r="75" spans="1:12" ht="16" thickBot="1" x14ac:dyDescent="0.25">
      <c r="A75" s="817"/>
      <c r="B75" s="528" t="s">
        <v>2096</v>
      </c>
      <c r="C75" s="529"/>
      <c r="D75" s="529"/>
      <c r="E75" s="820"/>
      <c r="F75" s="530" t="s">
        <v>2096</v>
      </c>
      <c r="G75" s="817"/>
      <c r="H75" s="528" t="s">
        <v>2096</v>
      </c>
      <c r="I75" s="529"/>
      <c r="J75" s="529"/>
      <c r="K75" s="820"/>
      <c r="L75" s="530" t="s">
        <v>2096</v>
      </c>
    </row>
    <row r="76" spans="1:12" ht="16" thickBot="1" x14ac:dyDescent="0.25">
      <c r="A76" s="817"/>
      <c r="B76" s="528" t="s">
        <v>2097</v>
      </c>
      <c r="C76" s="529"/>
      <c r="D76" s="529"/>
      <c r="E76" s="820"/>
      <c r="F76" s="530" t="s">
        <v>2097</v>
      </c>
      <c r="G76" s="817"/>
      <c r="H76" s="528" t="s">
        <v>2097</v>
      </c>
      <c r="I76" s="529"/>
      <c r="J76" s="529"/>
      <c r="K76" s="820"/>
      <c r="L76" s="530" t="s">
        <v>2097</v>
      </c>
    </row>
    <row r="77" spans="1:12" ht="16" thickBot="1" x14ac:dyDescent="0.25">
      <c r="A77" s="817"/>
      <c r="B77" s="528" t="s">
        <v>2098</v>
      </c>
      <c r="C77" s="529"/>
      <c r="D77" s="529"/>
      <c r="E77" s="820"/>
      <c r="F77" s="530" t="s">
        <v>2098</v>
      </c>
      <c r="G77" s="817"/>
      <c r="H77" s="528" t="s">
        <v>2098</v>
      </c>
      <c r="I77" s="529"/>
      <c r="J77" s="529"/>
      <c r="K77" s="820"/>
      <c r="L77" s="530" t="s">
        <v>2098</v>
      </c>
    </row>
    <row r="78" spans="1:12" ht="16" thickBot="1" x14ac:dyDescent="0.25">
      <c r="A78" s="817"/>
      <c r="B78" s="528" t="s">
        <v>2099</v>
      </c>
      <c r="C78" s="529"/>
      <c r="D78" s="529"/>
      <c r="E78" s="820"/>
      <c r="F78" s="530" t="s">
        <v>2099</v>
      </c>
      <c r="G78" s="817"/>
      <c r="H78" s="528" t="s">
        <v>2099</v>
      </c>
      <c r="I78" s="529"/>
      <c r="J78" s="529"/>
      <c r="K78" s="820"/>
      <c r="L78" s="530" t="s">
        <v>2099</v>
      </c>
    </row>
    <row r="79" spans="1:12" ht="16" thickBot="1" x14ac:dyDescent="0.25">
      <c r="A79" s="817"/>
      <c r="B79" s="528" t="s">
        <v>2100</v>
      </c>
      <c r="C79" s="529"/>
      <c r="D79" s="529"/>
      <c r="E79" s="820"/>
      <c r="F79" s="530" t="s">
        <v>2100</v>
      </c>
      <c r="G79" s="817"/>
      <c r="H79" s="528" t="s">
        <v>2100</v>
      </c>
      <c r="I79" s="529"/>
      <c r="J79" s="529"/>
      <c r="K79" s="820"/>
      <c r="L79" s="530" t="s">
        <v>2100</v>
      </c>
    </row>
    <row r="80" spans="1:12" ht="16" thickBot="1" x14ac:dyDescent="0.25">
      <c r="A80" s="817"/>
      <c r="B80" s="528" t="s">
        <v>2101</v>
      </c>
      <c r="C80" s="529"/>
      <c r="D80" s="529"/>
      <c r="E80" s="820"/>
      <c r="F80" s="530" t="s">
        <v>2101</v>
      </c>
      <c r="G80" s="817"/>
      <c r="H80" s="528" t="s">
        <v>2101</v>
      </c>
      <c r="I80" s="529"/>
      <c r="J80" s="529"/>
      <c r="K80" s="820"/>
      <c r="L80" s="530" t="s">
        <v>2101</v>
      </c>
    </row>
    <row r="81" spans="1:12" ht="16" thickBot="1" x14ac:dyDescent="0.25">
      <c r="A81" s="817"/>
      <c r="B81" s="528" t="s">
        <v>2102</v>
      </c>
      <c r="C81" s="529"/>
      <c r="D81" s="529"/>
      <c r="E81" s="820"/>
      <c r="F81" s="530" t="s">
        <v>2102</v>
      </c>
      <c r="G81" s="817"/>
      <c r="H81" s="528" t="s">
        <v>2102</v>
      </c>
      <c r="I81" s="529"/>
      <c r="J81" s="529"/>
      <c r="K81" s="820"/>
      <c r="L81" s="530" t="s">
        <v>2102</v>
      </c>
    </row>
    <row r="82" spans="1:12" ht="16" thickBot="1" x14ac:dyDescent="0.25">
      <c r="A82" s="817"/>
      <c r="B82" s="528" t="s">
        <v>2103</v>
      </c>
      <c r="C82" s="529"/>
      <c r="D82" s="529"/>
      <c r="E82" s="820"/>
      <c r="F82" s="530" t="s">
        <v>2103</v>
      </c>
      <c r="G82" s="817"/>
      <c r="H82" s="528" t="s">
        <v>2103</v>
      </c>
      <c r="I82" s="529"/>
      <c r="J82" s="529"/>
      <c r="K82" s="820"/>
      <c r="L82" s="530" t="s">
        <v>2103</v>
      </c>
    </row>
    <row r="83" spans="1:12" ht="16" thickBot="1" x14ac:dyDescent="0.25">
      <c r="A83" s="817"/>
      <c r="B83" s="528" t="s">
        <v>2104</v>
      </c>
      <c r="C83" s="529"/>
      <c r="D83" s="529"/>
      <c r="E83" s="820"/>
      <c r="F83" s="530" t="s">
        <v>2105</v>
      </c>
      <c r="G83" s="817"/>
      <c r="H83" s="528" t="s">
        <v>2104</v>
      </c>
      <c r="I83" s="529"/>
      <c r="J83" s="529"/>
      <c r="K83" s="820"/>
      <c r="L83" s="530" t="s">
        <v>2105</v>
      </c>
    </row>
    <row r="84" spans="1:12" ht="16" thickBot="1" x14ac:dyDescent="0.25">
      <c r="A84" s="818"/>
      <c r="B84" s="531" t="s">
        <v>1993</v>
      </c>
      <c r="C84" s="532"/>
      <c r="D84" s="533"/>
      <c r="E84" s="821"/>
      <c r="F84" s="534" t="s">
        <v>2000</v>
      </c>
      <c r="G84" s="818"/>
      <c r="H84" s="531" t="s">
        <v>1993</v>
      </c>
      <c r="I84" s="532"/>
      <c r="J84" s="533">
        <v>0</v>
      </c>
      <c r="K84" s="821"/>
      <c r="L84" s="534" t="s">
        <v>2000</v>
      </c>
    </row>
    <row r="85" spans="1:12" ht="16" thickBot="1" x14ac:dyDescent="0.25">
      <c r="A85" s="816" t="s">
        <v>2111</v>
      </c>
      <c r="B85" s="528" t="s">
        <v>2093</v>
      </c>
      <c r="C85" s="529"/>
      <c r="D85" s="529"/>
      <c r="E85" s="819" t="s">
        <v>2111</v>
      </c>
      <c r="F85" s="530" t="s">
        <v>2093</v>
      </c>
      <c r="G85" s="816" t="s">
        <v>2111</v>
      </c>
      <c r="H85" s="528" t="s">
        <v>2093</v>
      </c>
      <c r="I85" s="529"/>
      <c r="J85" s="529"/>
      <c r="K85" s="819" t="s">
        <v>2111</v>
      </c>
      <c r="L85" s="530" t="s">
        <v>2093</v>
      </c>
    </row>
    <row r="86" spans="1:12" ht="16" thickBot="1" x14ac:dyDescent="0.25">
      <c r="A86" s="817"/>
      <c r="B86" s="528" t="s">
        <v>2094</v>
      </c>
      <c r="C86" s="529"/>
      <c r="D86" s="529"/>
      <c r="E86" s="820"/>
      <c r="F86" s="530" t="s">
        <v>2094</v>
      </c>
      <c r="G86" s="817"/>
      <c r="H86" s="528" t="s">
        <v>2094</v>
      </c>
      <c r="I86" s="529"/>
      <c r="J86" s="529"/>
      <c r="K86" s="820"/>
      <c r="L86" s="530" t="s">
        <v>2094</v>
      </c>
    </row>
    <row r="87" spans="1:12" ht="16" thickBot="1" x14ac:dyDescent="0.25">
      <c r="A87" s="817"/>
      <c r="B87" s="528" t="s">
        <v>2095</v>
      </c>
      <c r="C87" s="529"/>
      <c r="D87" s="529"/>
      <c r="E87" s="820"/>
      <c r="F87" s="530" t="s">
        <v>2095</v>
      </c>
      <c r="G87" s="817"/>
      <c r="H87" s="528" t="s">
        <v>2095</v>
      </c>
      <c r="I87" s="529"/>
      <c r="J87" s="529"/>
      <c r="K87" s="820"/>
      <c r="L87" s="530" t="s">
        <v>2095</v>
      </c>
    </row>
    <row r="88" spans="1:12" ht="16" thickBot="1" x14ac:dyDescent="0.25">
      <c r="A88" s="817"/>
      <c r="B88" s="528" t="s">
        <v>2096</v>
      </c>
      <c r="C88" s="529"/>
      <c r="D88" s="529"/>
      <c r="E88" s="820"/>
      <c r="F88" s="530" t="s">
        <v>2096</v>
      </c>
      <c r="G88" s="817"/>
      <c r="H88" s="528" t="s">
        <v>2096</v>
      </c>
      <c r="I88" s="529"/>
      <c r="J88" s="529"/>
      <c r="K88" s="820"/>
      <c r="L88" s="530" t="s">
        <v>2096</v>
      </c>
    </row>
    <row r="89" spans="1:12" ht="16" thickBot="1" x14ac:dyDescent="0.25">
      <c r="A89" s="817"/>
      <c r="B89" s="528" t="s">
        <v>2097</v>
      </c>
      <c r="C89" s="529"/>
      <c r="D89" s="529"/>
      <c r="E89" s="820"/>
      <c r="F89" s="530" t="s">
        <v>2097</v>
      </c>
      <c r="G89" s="817"/>
      <c r="H89" s="528" t="s">
        <v>2097</v>
      </c>
      <c r="I89" s="529"/>
      <c r="J89" s="529"/>
      <c r="K89" s="820"/>
      <c r="L89" s="530" t="s">
        <v>2097</v>
      </c>
    </row>
    <row r="90" spans="1:12" ht="16" thickBot="1" x14ac:dyDescent="0.25">
      <c r="A90" s="817"/>
      <c r="B90" s="528" t="s">
        <v>2098</v>
      </c>
      <c r="C90" s="529"/>
      <c r="D90" s="529"/>
      <c r="E90" s="820"/>
      <c r="F90" s="530" t="s">
        <v>2098</v>
      </c>
      <c r="G90" s="817"/>
      <c r="H90" s="528" t="s">
        <v>2098</v>
      </c>
      <c r="I90" s="529"/>
      <c r="J90" s="529"/>
      <c r="K90" s="820"/>
      <c r="L90" s="530" t="s">
        <v>2098</v>
      </c>
    </row>
    <row r="91" spans="1:12" ht="16" thickBot="1" x14ac:dyDescent="0.25">
      <c r="A91" s="817"/>
      <c r="B91" s="528" t="s">
        <v>2099</v>
      </c>
      <c r="C91" s="529"/>
      <c r="D91" s="529"/>
      <c r="E91" s="820"/>
      <c r="F91" s="530" t="s">
        <v>2099</v>
      </c>
      <c r="G91" s="817"/>
      <c r="H91" s="528" t="s">
        <v>2099</v>
      </c>
      <c r="I91" s="529"/>
      <c r="J91" s="529"/>
      <c r="K91" s="820"/>
      <c r="L91" s="530" t="s">
        <v>2099</v>
      </c>
    </row>
    <row r="92" spans="1:12" ht="16" thickBot="1" x14ac:dyDescent="0.25">
      <c r="A92" s="817"/>
      <c r="B92" s="528" t="s">
        <v>2100</v>
      </c>
      <c r="C92" s="529"/>
      <c r="D92" s="529"/>
      <c r="E92" s="820"/>
      <c r="F92" s="530" t="s">
        <v>2100</v>
      </c>
      <c r="G92" s="817"/>
      <c r="H92" s="528" t="s">
        <v>2100</v>
      </c>
      <c r="I92" s="529"/>
      <c r="J92" s="529"/>
      <c r="K92" s="820"/>
      <c r="L92" s="530" t="s">
        <v>2100</v>
      </c>
    </row>
    <row r="93" spans="1:12" ht="16" thickBot="1" x14ac:dyDescent="0.25">
      <c r="A93" s="817"/>
      <c r="B93" s="528" t="s">
        <v>2101</v>
      </c>
      <c r="C93" s="529"/>
      <c r="D93" s="529"/>
      <c r="E93" s="820"/>
      <c r="F93" s="530" t="s">
        <v>2101</v>
      </c>
      <c r="G93" s="817"/>
      <c r="H93" s="528" t="s">
        <v>2101</v>
      </c>
      <c r="I93" s="529"/>
      <c r="J93" s="529"/>
      <c r="K93" s="820"/>
      <c r="L93" s="530" t="s">
        <v>2101</v>
      </c>
    </row>
    <row r="94" spans="1:12" ht="16" thickBot="1" x14ac:dyDescent="0.25">
      <c r="A94" s="817"/>
      <c r="B94" s="528" t="s">
        <v>2102</v>
      </c>
      <c r="C94" s="529"/>
      <c r="D94" s="529"/>
      <c r="E94" s="820"/>
      <c r="F94" s="530" t="s">
        <v>2102</v>
      </c>
      <c r="G94" s="817"/>
      <c r="H94" s="528" t="s">
        <v>2102</v>
      </c>
      <c r="I94" s="529"/>
      <c r="J94" s="529"/>
      <c r="K94" s="820"/>
      <c r="L94" s="530" t="s">
        <v>2102</v>
      </c>
    </row>
    <row r="95" spans="1:12" ht="16" thickBot="1" x14ac:dyDescent="0.25">
      <c r="A95" s="817"/>
      <c r="B95" s="528" t="s">
        <v>2103</v>
      </c>
      <c r="C95" s="529"/>
      <c r="D95" s="529"/>
      <c r="E95" s="820"/>
      <c r="F95" s="530" t="s">
        <v>2103</v>
      </c>
      <c r="G95" s="817"/>
      <c r="H95" s="528" t="s">
        <v>2103</v>
      </c>
      <c r="I95" s="529"/>
      <c r="J95" s="529"/>
      <c r="K95" s="820"/>
      <c r="L95" s="530" t="s">
        <v>2103</v>
      </c>
    </row>
    <row r="96" spans="1:12" ht="16" thickBot="1" x14ac:dyDescent="0.25">
      <c r="A96" s="817"/>
      <c r="B96" s="528" t="s">
        <v>2104</v>
      </c>
      <c r="C96" s="529"/>
      <c r="D96" s="529"/>
      <c r="E96" s="820"/>
      <c r="F96" s="530" t="s">
        <v>2105</v>
      </c>
      <c r="G96" s="817"/>
      <c r="H96" s="528" t="s">
        <v>2104</v>
      </c>
      <c r="I96" s="529"/>
      <c r="J96" s="529"/>
      <c r="K96" s="820"/>
      <c r="L96" s="530" t="s">
        <v>2105</v>
      </c>
    </row>
    <row r="97" spans="1:12" ht="16" thickBot="1" x14ac:dyDescent="0.25">
      <c r="A97" s="818"/>
      <c r="B97" s="531" t="s">
        <v>1993</v>
      </c>
      <c r="C97" s="532"/>
      <c r="D97" s="533"/>
      <c r="E97" s="821"/>
      <c r="F97" s="534" t="s">
        <v>2000</v>
      </c>
      <c r="G97" s="818"/>
      <c r="H97" s="531" t="s">
        <v>1993</v>
      </c>
      <c r="I97" s="532"/>
      <c r="J97" s="533">
        <v>0</v>
      </c>
      <c r="K97" s="821"/>
      <c r="L97" s="534" t="s">
        <v>2000</v>
      </c>
    </row>
    <row r="98" spans="1:12" ht="16" thickBot="1" x14ac:dyDescent="0.25">
      <c r="A98" s="816" t="s">
        <v>2112</v>
      </c>
      <c r="B98" s="528" t="s">
        <v>2093</v>
      </c>
      <c r="C98" s="529"/>
      <c r="D98" s="529"/>
      <c r="E98" s="819" t="s">
        <v>2112</v>
      </c>
      <c r="F98" s="530" t="s">
        <v>2093</v>
      </c>
      <c r="G98" s="816" t="s">
        <v>2112</v>
      </c>
      <c r="H98" s="528" t="s">
        <v>2093</v>
      </c>
      <c r="I98" s="529"/>
      <c r="J98" s="529"/>
      <c r="K98" s="819" t="s">
        <v>2112</v>
      </c>
      <c r="L98" s="530" t="s">
        <v>2093</v>
      </c>
    </row>
    <row r="99" spans="1:12" ht="16" thickBot="1" x14ac:dyDescent="0.25">
      <c r="A99" s="817"/>
      <c r="B99" s="528" t="s">
        <v>2094</v>
      </c>
      <c r="C99" s="529"/>
      <c r="D99" s="529"/>
      <c r="E99" s="820"/>
      <c r="F99" s="530" t="s">
        <v>2094</v>
      </c>
      <c r="G99" s="817"/>
      <c r="H99" s="528" t="s">
        <v>2094</v>
      </c>
      <c r="I99" s="529"/>
      <c r="J99" s="529"/>
      <c r="K99" s="820"/>
      <c r="L99" s="530" t="s">
        <v>2094</v>
      </c>
    </row>
    <row r="100" spans="1:12" ht="16" thickBot="1" x14ac:dyDescent="0.25">
      <c r="A100" s="817"/>
      <c r="B100" s="528" t="s">
        <v>2095</v>
      </c>
      <c r="C100" s="529"/>
      <c r="D100" s="529"/>
      <c r="E100" s="820"/>
      <c r="F100" s="530" t="s">
        <v>2095</v>
      </c>
      <c r="G100" s="817"/>
      <c r="H100" s="528" t="s">
        <v>2095</v>
      </c>
      <c r="I100" s="529"/>
      <c r="J100" s="529"/>
      <c r="K100" s="820"/>
      <c r="L100" s="530" t="s">
        <v>2095</v>
      </c>
    </row>
    <row r="101" spans="1:12" ht="16" thickBot="1" x14ac:dyDescent="0.25">
      <c r="A101" s="817"/>
      <c r="B101" s="528" t="s">
        <v>2096</v>
      </c>
      <c r="C101" s="529"/>
      <c r="D101" s="529"/>
      <c r="E101" s="820"/>
      <c r="F101" s="530" t="s">
        <v>2096</v>
      </c>
      <c r="G101" s="817"/>
      <c r="H101" s="528" t="s">
        <v>2096</v>
      </c>
      <c r="I101" s="529"/>
      <c r="J101" s="529"/>
      <c r="K101" s="820"/>
      <c r="L101" s="530" t="s">
        <v>2096</v>
      </c>
    </row>
    <row r="102" spans="1:12" ht="16" thickBot="1" x14ac:dyDescent="0.25">
      <c r="A102" s="817"/>
      <c r="B102" s="528" t="s">
        <v>2097</v>
      </c>
      <c r="C102" s="529"/>
      <c r="D102" s="529"/>
      <c r="E102" s="820"/>
      <c r="F102" s="530" t="s">
        <v>2097</v>
      </c>
      <c r="G102" s="817"/>
      <c r="H102" s="528" t="s">
        <v>2097</v>
      </c>
      <c r="I102" s="529"/>
      <c r="J102" s="529"/>
      <c r="K102" s="820"/>
      <c r="L102" s="530" t="s">
        <v>2097</v>
      </c>
    </row>
    <row r="103" spans="1:12" ht="16" thickBot="1" x14ac:dyDescent="0.25">
      <c r="A103" s="817"/>
      <c r="B103" s="528" t="s">
        <v>2098</v>
      </c>
      <c r="C103" s="529"/>
      <c r="D103" s="529"/>
      <c r="E103" s="820"/>
      <c r="F103" s="530" t="s">
        <v>2098</v>
      </c>
      <c r="G103" s="817"/>
      <c r="H103" s="528" t="s">
        <v>2098</v>
      </c>
      <c r="I103" s="529"/>
      <c r="J103" s="529"/>
      <c r="K103" s="820"/>
      <c r="L103" s="530" t="s">
        <v>2098</v>
      </c>
    </row>
    <row r="104" spans="1:12" ht="16" thickBot="1" x14ac:dyDescent="0.25">
      <c r="A104" s="817"/>
      <c r="B104" s="528" t="s">
        <v>2099</v>
      </c>
      <c r="C104" s="529"/>
      <c r="D104" s="529"/>
      <c r="E104" s="820"/>
      <c r="F104" s="530" t="s">
        <v>2099</v>
      </c>
      <c r="G104" s="817"/>
      <c r="H104" s="528" t="s">
        <v>2099</v>
      </c>
      <c r="I104" s="529"/>
      <c r="J104" s="529"/>
      <c r="K104" s="820"/>
      <c r="L104" s="530" t="s">
        <v>2099</v>
      </c>
    </row>
    <row r="105" spans="1:12" ht="16" thickBot="1" x14ac:dyDescent="0.25">
      <c r="A105" s="817"/>
      <c r="B105" s="528" t="s">
        <v>2100</v>
      </c>
      <c r="C105" s="529"/>
      <c r="D105" s="529"/>
      <c r="E105" s="820"/>
      <c r="F105" s="530" t="s">
        <v>2100</v>
      </c>
      <c r="G105" s="817"/>
      <c r="H105" s="528" t="s">
        <v>2100</v>
      </c>
      <c r="I105" s="529"/>
      <c r="J105" s="529"/>
      <c r="K105" s="820"/>
      <c r="L105" s="530" t="s">
        <v>2100</v>
      </c>
    </row>
    <row r="106" spans="1:12" ht="16" thickBot="1" x14ac:dyDescent="0.25">
      <c r="A106" s="817"/>
      <c r="B106" s="528" t="s">
        <v>2101</v>
      </c>
      <c r="C106" s="529"/>
      <c r="D106" s="529"/>
      <c r="E106" s="820"/>
      <c r="F106" s="530" t="s">
        <v>2101</v>
      </c>
      <c r="G106" s="817"/>
      <c r="H106" s="528" t="s">
        <v>2101</v>
      </c>
      <c r="I106" s="529"/>
      <c r="J106" s="529"/>
      <c r="K106" s="820"/>
      <c r="L106" s="530" t="s">
        <v>2101</v>
      </c>
    </row>
    <row r="107" spans="1:12" ht="16" thickBot="1" x14ac:dyDescent="0.25">
      <c r="A107" s="817"/>
      <c r="B107" s="528" t="s">
        <v>2102</v>
      </c>
      <c r="C107" s="529"/>
      <c r="D107" s="529"/>
      <c r="E107" s="820"/>
      <c r="F107" s="530" t="s">
        <v>2102</v>
      </c>
      <c r="G107" s="817"/>
      <c r="H107" s="528" t="s">
        <v>2102</v>
      </c>
      <c r="I107" s="529"/>
      <c r="J107" s="529"/>
      <c r="K107" s="820"/>
      <c r="L107" s="530" t="s">
        <v>2102</v>
      </c>
    </row>
    <row r="108" spans="1:12" ht="16" thickBot="1" x14ac:dyDescent="0.25">
      <c r="A108" s="817"/>
      <c r="B108" s="528" t="s">
        <v>2103</v>
      </c>
      <c r="C108" s="529"/>
      <c r="D108" s="529"/>
      <c r="E108" s="820"/>
      <c r="F108" s="530" t="s">
        <v>2103</v>
      </c>
      <c r="G108" s="817"/>
      <c r="H108" s="528" t="s">
        <v>2103</v>
      </c>
      <c r="I108" s="529"/>
      <c r="J108" s="529"/>
      <c r="K108" s="820"/>
      <c r="L108" s="530" t="s">
        <v>2103</v>
      </c>
    </row>
    <row r="109" spans="1:12" ht="16" thickBot="1" x14ac:dyDescent="0.25">
      <c r="A109" s="817"/>
      <c r="B109" s="528" t="s">
        <v>2104</v>
      </c>
      <c r="C109" s="529"/>
      <c r="D109" s="529"/>
      <c r="E109" s="820"/>
      <c r="F109" s="530" t="s">
        <v>2105</v>
      </c>
      <c r="G109" s="817"/>
      <c r="H109" s="528" t="s">
        <v>2104</v>
      </c>
      <c r="I109" s="529"/>
      <c r="J109" s="529"/>
      <c r="K109" s="820"/>
      <c r="L109" s="530" t="s">
        <v>2105</v>
      </c>
    </row>
    <row r="110" spans="1:12" ht="16" thickBot="1" x14ac:dyDescent="0.25">
      <c r="A110" s="818"/>
      <c r="B110" s="531" t="s">
        <v>1993</v>
      </c>
      <c r="C110" s="532"/>
      <c r="D110" s="533"/>
      <c r="E110" s="821"/>
      <c r="F110" s="534" t="s">
        <v>2000</v>
      </c>
      <c r="G110" s="818"/>
      <c r="H110" s="531" t="s">
        <v>1993</v>
      </c>
      <c r="I110" s="532"/>
      <c r="J110" s="533">
        <v>0</v>
      </c>
      <c r="K110" s="821"/>
      <c r="L110" s="534" t="s">
        <v>2000</v>
      </c>
    </row>
    <row r="111" spans="1:12" ht="16" thickBot="1" x14ac:dyDescent="0.25">
      <c r="A111" s="816" t="s">
        <v>2113</v>
      </c>
      <c r="B111" s="528" t="s">
        <v>2093</v>
      </c>
      <c r="C111" s="529"/>
      <c r="D111" s="529"/>
      <c r="E111" s="819" t="s">
        <v>2113</v>
      </c>
      <c r="F111" s="530" t="s">
        <v>2093</v>
      </c>
      <c r="G111" s="816" t="s">
        <v>2113</v>
      </c>
      <c r="H111" s="528" t="s">
        <v>2093</v>
      </c>
      <c r="I111" s="529"/>
      <c r="J111" s="529"/>
      <c r="K111" s="819" t="s">
        <v>2113</v>
      </c>
      <c r="L111" s="530" t="s">
        <v>2093</v>
      </c>
    </row>
    <row r="112" spans="1:12" ht="16" thickBot="1" x14ac:dyDescent="0.25">
      <c r="A112" s="817"/>
      <c r="B112" s="528" t="s">
        <v>2094</v>
      </c>
      <c r="C112" s="529"/>
      <c r="D112" s="529"/>
      <c r="E112" s="820"/>
      <c r="F112" s="530" t="s">
        <v>2094</v>
      </c>
      <c r="G112" s="817"/>
      <c r="H112" s="528" t="s">
        <v>2094</v>
      </c>
      <c r="I112" s="529"/>
      <c r="J112" s="529"/>
      <c r="K112" s="820"/>
      <c r="L112" s="530" t="s">
        <v>2094</v>
      </c>
    </row>
    <row r="113" spans="1:12" ht="16" thickBot="1" x14ac:dyDescent="0.25">
      <c r="A113" s="817"/>
      <c r="B113" s="528" t="s">
        <v>2095</v>
      </c>
      <c r="C113" s="529"/>
      <c r="D113" s="529"/>
      <c r="E113" s="820"/>
      <c r="F113" s="530" t="s">
        <v>2095</v>
      </c>
      <c r="G113" s="817"/>
      <c r="H113" s="528" t="s">
        <v>2095</v>
      </c>
      <c r="I113" s="529"/>
      <c r="J113" s="529"/>
      <c r="K113" s="820"/>
      <c r="L113" s="530" t="s">
        <v>2095</v>
      </c>
    </row>
    <row r="114" spans="1:12" ht="16" thickBot="1" x14ac:dyDescent="0.25">
      <c r="A114" s="817"/>
      <c r="B114" s="528" t="s">
        <v>2096</v>
      </c>
      <c r="C114" s="529"/>
      <c r="D114" s="529"/>
      <c r="E114" s="820"/>
      <c r="F114" s="530" t="s">
        <v>2096</v>
      </c>
      <c r="G114" s="817"/>
      <c r="H114" s="528" t="s">
        <v>2096</v>
      </c>
      <c r="I114" s="529"/>
      <c r="J114" s="529"/>
      <c r="K114" s="820"/>
      <c r="L114" s="530" t="s">
        <v>2096</v>
      </c>
    </row>
    <row r="115" spans="1:12" ht="16" thickBot="1" x14ac:dyDescent="0.25">
      <c r="A115" s="817"/>
      <c r="B115" s="528" t="s">
        <v>2097</v>
      </c>
      <c r="C115" s="529"/>
      <c r="D115" s="529"/>
      <c r="E115" s="820"/>
      <c r="F115" s="530" t="s">
        <v>2097</v>
      </c>
      <c r="G115" s="817"/>
      <c r="H115" s="528" t="s">
        <v>2097</v>
      </c>
      <c r="I115" s="529"/>
      <c r="J115" s="529"/>
      <c r="K115" s="820"/>
      <c r="L115" s="530" t="s">
        <v>2097</v>
      </c>
    </row>
    <row r="116" spans="1:12" ht="16" thickBot="1" x14ac:dyDescent="0.25">
      <c r="A116" s="817"/>
      <c r="B116" s="528" t="s">
        <v>2098</v>
      </c>
      <c r="C116" s="529"/>
      <c r="D116" s="529"/>
      <c r="E116" s="820"/>
      <c r="F116" s="530" t="s">
        <v>2098</v>
      </c>
      <c r="G116" s="817"/>
      <c r="H116" s="528" t="s">
        <v>2098</v>
      </c>
      <c r="I116" s="529"/>
      <c r="J116" s="529"/>
      <c r="K116" s="820"/>
      <c r="L116" s="530" t="s">
        <v>2098</v>
      </c>
    </row>
    <row r="117" spans="1:12" ht="16" thickBot="1" x14ac:dyDescent="0.25">
      <c r="A117" s="817"/>
      <c r="B117" s="528" t="s">
        <v>2099</v>
      </c>
      <c r="C117" s="529"/>
      <c r="D117" s="529"/>
      <c r="E117" s="820"/>
      <c r="F117" s="530" t="s">
        <v>2099</v>
      </c>
      <c r="G117" s="817"/>
      <c r="H117" s="528" t="s">
        <v>2099</v>
      </c>
      <c r="I117" s="529"/>
      <c r="J117" s="529"/>
      <c r="K117" s="820"/>
      <c r="L117" s="530" t="s">
        <v>2099</v>
      </c>
    </row>
    <row r="118" spans="1:12" ht="16" thickBot="1" x14ac:dyDescent="0.25">
      <c r="A118" s="817"/>
      <c r="B118" s="528" t="s">
        <v>2100</v>
      </c>
      <c r="C118" s="529"/>
      <c r="D118" s="529"/>
      <c r="E118" s="820"/>
      <c r="F118" s="530" t="s">
        <v>2100</v>
      </c>
      <c r="G118" s="817"/>
      <c r="H118" s="528" t="s">
        <v>2100</v>
      </c>
      <c r="I118" s="529"/>
      <c r="J118" s="529"/>
      <c r="K118" s="820"/>
      <c r="L118" s="530" t="s">
        <v>2100</v>
      </c>
    </row>
    <row r="119" spans="1:12" ht="16" thickBot="1" x14ac:dyDescent="0.25">
      <c r="A119" s="817"/>
      <c r="B119" s="528" t="s">
        <v>2101</v>
      </c>
      <c r="C119" s="529"/>
      <c r="D119" s="529"/>
      <c r="E119" s="820"/>
      <c r="F119" s="530" t="s">
        <v>2101</v>
      </c>
      <c r="G119" s="817"/>
      <c r="H119" s="528" t="s">
        <v>2101</v>
      </c>
      <c r="I119" s="529"/>
      <c r="J119" s="529"/>
      <c r="K119" s="820"/>
      <c r="L119" s="530" t="s">
        <v>2101</v>
      </c>
    </row>
    <row r="120" spans="1:12" ht="16" thickBot="1" x14ac:dyDescent="0.25">
      <c r="A120" s="817"/>
      <c r="B120" s="528" t="s">
        <v>2102</v>
      </c>
      <c r="C120" s="529"/>
      <c r="D120" s="529"/>
      <c r="E120" s="820"/>
      <c r="F120" s="530" t="s">
        <v>2102</v>
      </c>
      <c r="G120" s="817"/>
      <c r="H120" s="528" t="s">
        <v>2102</v>
      </c>
      <c r="I120" s="529"/>
      <c r="J120" s="529"/>
      <c r="K120" s="820"/>
      <c r="L120" s="530" t="s">
        <v>2102</v>
      </c>
    </row>
    <row r="121" spans="1:12" ht="16" thickBot="1" x14ac:dyDescent="0.25">
      <c r="A121" s="817"/>
      <c r="B121" s="528" t="s">
        <v>2103</v>
      </c>
      <c r="C121" s="529"/>
      <c r="D121" s="529"/>
      <c r="E121" s="820"/>
      <c r="F121" s="530" t="s">
        <v>2103</v>
      </c>
      <c r="G121" s="817"/>
      <c r="H121" s="528" t="s">
        <v>2103</v>
      </c>
      <c r="I121" s="529"/>
      <c r="J121" s="529"/>
      <c r="K121" s="820"/>
      <c r="L121" s="530" t="s">
        <v>2103</v>
      </c>
    </row>
    <row r="122" spans="1:12" ht="16" thickBot="1" x14ac:dyDescent="0.25">
      <c r="A122" s="817"/>
      <c r="B122" s="528" t="s">
        <v>2104</v>
      </c>
      <c r="C122" s="529"/>
      <c r="D122" s="529"/>
      <c r="E122" s="820"/>
      <c r="F122" s="530" t="s">
        <v>2105</v>
      </c>
      <c r="G122" s="817"/>
      <c r="H122" s="528" t="s">
        <v>2104</v>
      </c>
      <c r="I122" s="529"/>
      <c r="J122" s="529"/>
      <c r="K122" s="820"/>
      <c r="L122" s="530" t="s">
        <v>2105</v>
      </c>
    </row>
    <row r="123" spans="1:12" ht="16" thickBot="1" x14ac:dyDescent="0.25">
      <c r="A123" s="818"/>
      <c r="B123" s="531" t="s">
        <v>1993</v>
      </c>
      <c r="C123" s="532"/>
      <c r="D123" s="533"/>
      <c r="E123" s="821"/>
      <c r="F123" s="534" t="s">
        <v>2000</v>
      </c>
      <c r="G123" s="818"/>
      <c r="H123" s="531" t="s">
        <v>1993</v>
      </c>
      <c r="I123" s="532"/>
      <c r="J123" s="533">
        <v>0</v>
      </c>
      <c r="K123" s="821"/>
      <c r="L123" s="534" t="s">
        <v>2000</v>
      </c>
    </row>
    <row r="124" spans="1:12" ht="16" thickBot="1" x14ac:dyDescent="0.25">
      <c r="A124" s="816" t="s">
        <v>2114</v>
      </c>
      <c r="B124" s="528" t="s">
        <v>2093</v>
      </c>
      <c r="C124" s="529"/>
      <c r="D124" s="529"/>
      <c r="E124" s="819" t="s">
        <v>2114</v>
      </c>
      <c r="F124" s="530" t="s">
        <v>2093</v>
      </c>
      <c r="G124" s="816" t="s">
        <v>2114</v>
      </c>
      <c r="H124" s="528" t="s">
        <v>2093</v>
      </c>
      <c r="I124" s="529"/>
      <c r="J124" s="529">
        <v>0</v>
      </c>
      <c r="K124" s="819" t="s">
        <v>2114</v>
      </c>
      <c r="L124" s="530" t="s">
        <v>2093</v>
      </c>
    </row>
    <row r="125" spans="1:12" ht="16" thickBot="1" x14ac:dyDescent="0.25">
      <c r="A125" s="817"/>
      <c r="B125" s="528" t="s">
        <v>2094</v>
      </c>
      <c r="C125" s="529"/>
      <c r="D125" s="529"/>
      <c r="E125" s="820"/>
      <c r="F125" s="530" t="s">
        <v>2094</v>
      </c>
      <c r="G125" s="817"/>
      <c r="H125" s="528" t="s">
        <v>2094</v>
      </c>
      <c r="I125" s="529"/>
      <c r="J125" s="529"/>
      <c r="K125" s="820"/>
      <c r="L125" s="530" t="s">
        <v>2094</v>
      </c>
    </row>
    <row r="126" spans="1:12" ht="16" thickBot="1" x14ac:dyDescent="0.25">
      <c r="A126" s="817"/>
      <c r="B126" s="528" t="s">
        <v>2095</v>
      </c>
      <c r="C126" s="529"/>
      <c r="D126" s="529"/>
      <c r="E126" s="820"/>
      <c r="F126" s="530" t="s">
        <v>2095</v>
      </c>
      <c r="G126" s="817"/>
      <c r="H126" s="528" t="s">
        <v>2095</v>
      </c>
      <c r="I126" s="529"/>
      <c r="J126" s="529"/>
      <c r="K126" s="820"/>
      <c r="L126" s="530" t="s">
        <v>2095</v>
      </c>
    </row>
    <row r="127" spans="1:12" ht="16" thickBot="1" x14ac:dyDescent="0.25">
      <c r="A127" s="817"/>
      <c r="B127" s="528" t="s">
        <v>2096</v>
      </c>
      <c r="C127" s="529"/>
      <c r="D127" s="529"/>
      <c r="E127" s="820"/>
      <c r="F127" s="530" t="s">
        <v>2096</v>
      </c>
      <c r="G127" s="817"/>
      <c r="H127" s="528" t="s">
        <v>2096</v>
      </c>
      <c r="I127" s="529"/>
      <c r="J127" s="529"/>
      <c r="K127" s="820"/>
      <c r="L127" s="530" t="s">
        <v>2096</v>
      </c>
    </row>
    <row r="128" spans="1:12" ht="16" thickBot="1" x14ac:dyDescent="0.25">
      <c r="A128" s="817"/>
      <c r="B128" s="528" t="s">
        <v>2097</v>
      </c>
      <c r="C128" s="529"/>
      <c r="D128" s="529"/>
      <c r="E128" s="820"/>
      <c r="F128" s="530" t="s">
        <v>2097</v>
      </c>
      <c r="G128" s="817"/>
      <c r="H128" s="528" t="s">
        <v>2097</v>
      </c>
      <c r="I128" s="529"/>
      <c r="J128" s="529"/>
      <c r="K128" s="820"/>
      <c r="L128" s="530" t="s">
        <v>2097</v>
      </c>
    </row>
    <row r="129" spans="1:12" ht="16" thickBot="1" x14ac:dyDescent="0.25">
      <c r="A129" s="817"/>
      <c r="B129" s="528" t="s">
        <v>2098</v>
      </c>
      <c r="C129" s="529"/>
      <c r="D129" s="529"/>
      <c r="E129" s="820"/>
      <c r="F129" s="530" t="s">
        <v>2098</v>
      </c>
      <c r="G129" s="817"/>
      <c r="H129" s="528" t="s">
        <v>2098</v>
      </c>
      <c r="I129" s="529"/>
      <c r="J129" s="529"/>
      <c r="K129" s="820"/>
      <c r="L129" s="530" t="s">
        <v>2098</v>
      </c>
    </row>
    <row r="130" spans="1:12" ht="16" thickBot="1" x14ac:dyDescent="0.25">
      <c r="A130" s="817"/>
      <c r="B130" s="528" t="s">
        <v>2099</v>
      </c>
      <c r="C130" s="529"/>
      <c r="D130" s="529"/>
      <c r="E130" s="820"/>
      <c r="F130" s="530" t="s">
        <v>2099</v>
      </c>
      <c r="G130" s="817"/>
      <c r="H130" s="528" t="s">
        <v>2099</v>
      </c>
      <c r="I130" s="529"/>
      <c r="J130" s="529"/>
      <c r="K130" s="820"/>
      <c r="L130" s="530" t="s">
        <v>2099</v>
      </c>
    </row>
    <row r="131" spans="1:12" ht="16" thickBot="1" x14ac:dyDescent="0.25">
      <c r="A131" s="817"/>
      <c r="B131" s="528" t="s">
        <v>2100</v>
      </c>
      <c r="C131" s="529"/>
      <c r="D131" s="529"/>
      <c r="E131" s="820"/>
      <c r="F131" s="530" t="s">
        <v>2100</v>
      </c>
      <c r="G131" s="817"/>
      <c r="H131" s="528" t="s">
        <v>2100</v>
      </c>
      <c r="I131" s="529"/>
      <c r="J131" s="529"/>
      <c r="K131" s="820"/>
      <c r="L131" s="530" t="s">
        <v>2100</v>
      </c>
    </row>
    <row r="132" spans="1:12" ht="16" thickBot="1" x14ac:dyDescent="0.25">
      <c r="A132" s="817"/>
      <c r="B132" s="528" t="s">
        <v>2101</v>
      </c>
      <c r="C132" s="529"/>
      <c r="D132" s="529"/>
      <c r="E132" s="820"/>
      <c r="F132" s="530" t="s">
        <v>2101</v>
      </c>
      <c r="G132" s="817"/>
      <c r="H132" s="528" t="s">
        <v>2101</v>
      </c>
      <c r="I132" s="529"/>
      <c r="J132" s="529"/>
      <c r="K132" s="820"/>
      <c r="L132" s="530" t="s">
        <v>2101</v>
      </c>
    </row>
    <row r="133" spans="1:12" ht="16" thickBot="1" x14ac:dyDescent="0.25">
      <c r="A133" s="817"/>
      <c r="B133" s="528" t="s">
        <v>2102</v>
      </c>
      <c r="C133" s="529"/>
      <c r="D133" s="529"/>
      <c r="E133" s="820"/>
      <c r="F133" s="530" t="s">
        <v>2102</v>
      </c>
      <c r="G133" s="817"/>
      <c r="H133" s="528" t="s">
        <v>2102</v>
      </c>
      <c r="I133" s="529"/>
      <c r="J133" s="529"/>
      <c r="K133" s="820"/>
      <c r="L133" s="530" t="s">
        <v>2102</v>
      </c>
    </row>
    <row r="134" spans="1:12" ht="16" thickBot="1" x14ac:dyDescent="0.25">
      <c r="A134" s="817"/>
      <c r="B134" s="528" t="s">
        <v>2103</v>
      </c>
      <c r="C134" s="529"/>
      <c r="D134" s="529"/>
      <c r="E134" s="820"/>
      <c r="F134" s="530" t="s">
        <v>2103</v>
      </c>
      <c r="G134" s="817"/>
      <c r="H134" s="528" t="s">
        <v>2103</v>
      </c>
      <c r="I134" s="529"/>
      <c r="J134" s="529"/>
      <c r="K134" s="820"/>
      <c r="L134" s="530" t="s">
        <v>2103</v>
      </c>
    </row>
    <row r="135" spans="1:12" ht="16" thickBot="1" x14ac:dyDescent="0.25">
      <c r="A135" s="817"/>
      <c r="B135" s="528" t="s">
        <v>2104</v>
      </c>
      <c r="C135" s="529"/>
      <c r="D135" s="529"/>
      <c r="E135" s="820"/>
      <c r="F135" s="530" t="s">
        <v>2105</v>
      </c>
      <c r="G135" s="817"/>
      <c r="H135" s="528" t="s">
        <v>2104</v>
      </c>
      <c r="I135" s="529"/>
      <c r="J135" s="529"/>
      <c r="K135" s="820"/>
      <c r="L135" s="530" t="s">
        <v>2105</v>
      </c>
    </row>
    <row r="136" spans="1:12" ht="16" thickBot="1" x14ac:dyDescent="0.25">
      <c r="A136" s="818"/>
      <c r="B136" s="531" t="s">
        <v>1993</v>
      </c>
      <c r="C136" s="532"/>
      <c r="D136" s="533"/>
      <c r="E136" s="821"/>
      <c r="F136" s="534" t="s">
        <v>2000</v>
      </c>
      <c r="G136" s="818"/>
      <c r="H136" s="531" t="s">
        <v>1993</v>
      </c>
      <c r="I136" s="532"/>
      <c r="J136" s="533">
        <v>0</v>
      </c>
      <c r="K136" s="821"/>
      <c r="L136" s="534" t="s">
        <v>2000</v>
      </c>
    </row>
    <row r="137" spans="1:12" ht="16" thickBot="1" x14ac:dyDescent="0.25">
      <c r="A137" s="816" t="s">
        <v>2115</v>
      </c>
      <c r="B137" s="528" t="s">
        <v>2093</v>
      </c>
      <c r="C137" s="529"/>
      <c r="D137" s="529"/>
      <c r="E137" s="819" t="s">
        <v>2115</v>
      </c>
      <c r="F137" s="530" t="s">
        <v>2093</v>
      </c>
      <c r="G137" s="816" t="s">
        <v>2115</v>
      </c>
      <c r="H137" s="528" t="s">
        <v>2093</v>
      </c>
      <c r="I137" s="529"/>
      <c r="J137" s="529"/>
      <c r="K137" s="819" t="s">
        <v>2115</v>
      </c>
      <c r="L137" s="530" t="s">
        <v>2093</v>
      </c>
    </row>
    <row r="138" spans="1:12" ht="16" thickBot="1" x14ac:dyDescent="0.25">
      <c r="A138" s="817"/>
      <c r="B138" s="528" t="s">
        <v>2094</v>
      </c>
      <c r="C138" s="529"/>
      <c r="D138" s="529"/>
      <c r="E138" s="820"/>
      <c r="F138" s="530" t="s">
        <v>2094</v>
      </c>
      <c r="G138" s="817"/>
      <c r="H138" s="528" t="s">
        <v>2094</v>
      </c>
      <c r="I138" s="529"/>
      <c r="J138" s="529"/>
      <c r="K138" s="820"/>
      <c r="L138" s="530" t="s">
        <v>2094</v>
      </c>
    </row>
    <row r="139" spans="1:12" ht="16" thickBot="1" x14ac:dyDescent="0.25">
      <c r="A139" s="817"/>
      <c r="B139" s="528" t="s">
        <v>2095</v>
      </c>
      <c r="C139" s="529"/>
      <c r="D139" s="529"/>
      <c r="E139" s="820"/>
      <c r="F139" s="530" t="s">
        <v>2095</v>
      </c>
      <c r="G139" s="817"/>
      <c r="H139" s="528" t="s">
        <v>2095</v>
      </c>
      <c r="I139" s="529"/>
      <c r="J139" s="529"/>
      <c r="K139" s="820"/>
      <c r="L139" s="530" t="s">
        <v>2095</v>
      </c>
    </row>
    <row r="140" spans="1:12" ht="16" thickBot="1" x14ac:dyDescent="0.25">
      <c r="A140" s="817"/>
      <c r="B140" s="528" t="s">
        <v>2096</v>
      </c>
      <c r="C140" s="529"/>
      <c r="D140" s="529"/>
      <c r="E140" s="820"/>
      <c r="F140" s="530" t="s">
        <v>2096</v>
      </c>
      <c r="G140" s="817"/>
      <c r="H140" s="528" t="s">
        <v>2096</v>
      </c>
      <c r="I140" s="529"/>
      <c r="J140" s="529"/>
      <c r="K140" s="820"/>
      <c r="L140" s="530" t="s">
        <v>2096</v>
      </c>
    </row>
    <row r="141" spans="1:12" ht="16" thickBot="1" x14ac:dyDescent="0.25">
      <c r="A141" s="817"/>
      <c r="B141" s="528" t="s">
        <v>2097</v>
      </c>
      <c r="C141" s="529"/>
      <c r="D141" s="529"/>
      <c r="E141" s="820"/>
      <c r="F141" s="530" t="s">
        <v>2097</v>
      </c>
      <c r="G141" s="817"/>
      <c r="H141" s="528" t="s">
        <v>2097</v>
      </c>
      <c r="I141" s="529"/>
      <c r="J141" s="529"/>
      <c r="K141" s="820"/>
      <c r="L141" s="530" t="s">
        <v>2097</v>
      </c>
    </row>
    <row r="142" spans="1:12" ht="16" thickBot="1" x14ac:dyDescent="0.25">
      <c r="A142" s="817"/>
      <c r="B142" s="528" t="s">
        <v>2098</v>
      </c>
      <c r="C142" s="529"/>
      <c r="D142" s="529"/>
      <c r="E142" s="820"/>
      <c r="F142" s="530" t="s">
        <v>2098</v>
      </c>
      <c r="G142" s="817"/>
      <c r="H142" s="528" t="s">
        <v>2098</v>
      </c>
      <c r="I142" s="529"/>
      <c r="J142" s="529"/>
      <c r="K142" s="820"/>
      <c r="L142" s="530" t="s">
        <v>2098</v>
      </c>
    </row>
    <row r="143" spans="1:12" ht="16" thickBot="1" x14ac:dyDescent="0.25">
      <c r="A143" s="817"/>
      <c r="B143" s="528" t="s">
        <v>2099</v>
      </c>
      <c r="C143" s="529"/>
      <c r="D143" s="529"/>
      <c r="E143" s="820"/>
      <c r="F143" s="530" t="s">
        <v>2099</v>
      </c>
      <c r="G143" s="817"/>
      <c r="H143" s="528" t="s">
        <v>2099</v>
      </c>
      <c r="I143" s="529"/>
      <c r="J143" s="529"/>
      <c r="K143" s="820"/>
      <c r="L143" s="530" t="s">
        <v>2099</v>
      </c>
    </row>
    <row r="144" spans="1:12" ht="16" thickBot="1" x14ac:dyDescent="0.25">
      <c r="A144" s="817"/>
      <c r="B144" s="528" t="s">
        <v>2100</v>
      </c>
      <c r="C144" s="529"/>
      <c r="D144" s="529"/>
      <c r="E144" s="820"/>
      <c r="F144" s="530" t="s">
        <v>2100</v>
      </c>
      <c r="G144" s="817"/>
      <c r="H144" s="528" t="s">
        <v>2100</v>
      </c>
      <c r="I144" s="529"/>
      <c r="J144" s="529"/>
      <c r="K144" s="820"/>
      <c r="L144" s="530" t="s">
        <v>2100</v>
      </c>
    </row>
    <row r="145" spans="1:12" ht="16" thickBot="1" x14ac:dyDescent="0.25">
      <c r="A145" s="817"/>
      <c r="B145" s="528" t="s">
        <v>2101</v>
      </c>
      <c r="C145" s="529"/>
      <c r="D145" s="529"/>
      <c r="E145" s="820"/>
      <c r="F145" s="530" t="s">
        <v>2101</v>
      </c>
      <c r="G145" s="817"/>
      <c r="H145" s="528" t="s">
        <v>2101</v>
      </c>
      <c r="I145" s="529"/>
      <c r="J145" s="529"/>
      <c r="K145" s="820"/>
      <c r="L145" s="530" t="s">
        <v>2101</v>
      </c>
    </row>
    <row r="146" spans="1:12" ht="16" thickBot="1" x14ac:dyDescent="0.25">
      <c r="A146" s="817"/>
      <c r="B146" s="528" t="s">
        <v>2102</v>
      </c>
      <c r="C146" s="529"/>
      <c r="D146" s="529"/>
      <c r="E146" s="820"/>
      <c r="F146" s="530" t="s">
        <v>2102</v>
      </c>
      <c r="G146" s="817"/>
      <c r="H146" s="528" t="s">
        <v>2102</v>
      </c>
      <c r="I146" s="529"/>
      <c r="J146" s="529"/>
      <c r="K146" s="820"/>
      <c r="L146" s="530" t="s">
        <v>2102</v>
      </c>
    </row>
    <row r="147" spans="1:12" ht="16" thickBot="1" x14ac:dyDescent="0.25">
      <c r="A147" s="817"/>
      <c r="B147" s="528" t="s">
        <v>2103</v>
      </c>
      <c r="C147" s="529"/>
      <c r="D147" s="529"/>
      <c r="E147" s="820"/>
      <c r="F147" s="530" t="s">
        <v>2103</v>
      </c>
      <c r="G147" s="817"/>
      <c r="H147" s="528" t="s">
        <v>2103</v>
      </c>
      <c r="I147" s="529"/>
      <c r="J147" s="529"/>
      <c r="K147" s="820"/>
      <c r="L147" s="530" t="s">
        <v>2103</v>
      </c>
    </row>
    <row r="148" spans="1:12" ht="16" thickBot="1" x14ac:dyDescent="0.25">
      <c r="A148" s="817"/>
      <c r="B148" s="528" t="s">
        <v>2104</v>
      </c>
      <c r="C148" s="529"/>
      <c r="D148" s="529"/>
      <c r="E148" s="820"/>
      <c r="F148" s="530" t="s">
        <v>2105</v>
      </c>
      <c r="G148" s="817"/>
      <c r="H148" s="528" t="s">
        <v>2104</v>
      </c>
      <c r="I148" s="529"/>
      <c r="J148" s="529"/>
      <c r="K148" s="820"/>
      <c r="L148" s="530" t="s">
        <v>2105</v>
      </c>
    </row>
    <row r="149" spans="1:12" ht="16" thickBot="1" x14ac:dyDescent="0.25">
      <c r="A149" s="818"/>
      <c r="B149" s="531" t="s">
        <v>1993</v>
      </c>
      <c r="C149" s="532"/>
      <c r="D149" s="533"/>
      <c r="E149" s="821"/>
      <c r="F149" s="534" t="s">
        <v>2000</v>
      </c>
      <c r="G149" s="818"/>
      <c r="H149" s="531" t="s">
        <v>1993</v>
      </c>
      <c r="I149" s="532"/>
      <c r="J149" s="533">
        <v>0</v>
      </c>
      <c r="K149" s="821"/>
      <c r="L149" s="534" t="s">
        <v>2000</v>
      </c>
    </row>
    <row r="150" spans="1:12" ht="16" thickBot="1" x14ac:dyDescent="0.25">
      <c r="A150" s="816" t="s">
        <v>2116</v>
      </c>
      <c r="B150" s="528" t="s">
        <v>2093</v>
      </c>
      <c r="C150" s="529"/>
      <c r="D150" s="529"/>
      <c r="E150" s="819" t="s">
        <v>2116</v>
      </c>
      <c r="F150" s="530" t="s">
        <v>2093</v>
      </c>
      <c r="G150" s="816" t="s">
        <v>2116</v>
      </c>
      <c r="H150" s="528" t="s">
        <v>2093</v>
      </c>
      <c r="I150" s="529"/>
      <c r="J150" s="529"/>
      <c r="K150" s="819" t="s">
        <v>2116</v>
      </c>
      <c r="L150" s="530" t="s">
        <v>2093</v>
      </c>
    </row>
    <row r="151" spans="1:12" ht="16" thickBot="1" x14ac:dyDescent="0.25">
      <c r="A151" s="817"/>
      <c r="B151" s="528" t="s">
        <v>2094</v>
      </c>
      <c r="C151" s="529"/>
      <c r="D151" s="529"/>
      <c r="E151" s="820"/>
      <c r="F151" s="530" t="s">
        <v>2094</v>
      </c>
      <c r="G151" s="817"/>
      <c r="H151" s="528" t="s">
        <v>2094</v>
      </c>
      <c r="I151" s="529"/>
      <c r="J151" s="529"/>
      <c r="K151" s="820"/>
      <c r="L151" s="530" t="s">
        <v>2094</v>
      </c>
    </row>
    <row r="152" spans="1:12" ht="16" thickBot="1" x14ac:dyDescent="0.25">
      <c r="A152" s="817"/>
      <c r="B152" s="528" t="s">
        <v>2095</v>
      </c>
      <c r="C152" s="529"/>
      <c r="D152" s="529"/>
      <c r="E152" s="820"/>
      <c r="F152" s="530" t="s">
        <v>2095</v>
      </c>
      <c r="G152" s="817"/>
      <c r="H152" s="528" t="s">
        <v>2095</v>
      </c>
      <c r="I152" s="529"/>
      <c r="J152" s="529"/>
      <c r="K152" s="820"/>
      <c r="L152" s="530" t="s">
        <v>2095</v>
      </c>
    </row>
    <row r="153" spans="1:12" ht="16" thickBot="1" x14ac:dyDescent="0.25">
      <c r="A153" s="817"/>
      <c r="B153" s="528" t="s">
        <v>2096</v>
      </c>
      <c r="C153" s="529"/>
      <c r="D153" s="529"/>
      <c r="E153" s="820"/>
      <c r="F153" s="530" t="s">
        <v>2096</v>
      </c>
      <c r="G153" s="817"/>
      <c r="H153" s="528" t="s">
        <v>2096</v>
      </c>
      <c r="I153" s="529"/>
      <c r="J153" s="529"/>
      <c r="K153" s="820"/>
      <c r="L153" s="530" t="s">
        <v>2096</v>
      </c>
    </row>
    <row r="154" spans="1:12" ht="16" thickBot="1" x14ac:dyDescent="0.25">
      <c r="A154" s="817"/>
      <c r="B154" s="528" t="s">
        <v>2097</v>
      </c>
      <c r="C154" s="529"/>
      <c r="D154" s="529"/>
      <c r="E154" s="820"/>
      <c r="F154" s="530" t="s">
        <v>2097</v>
      </c>
      <c r="G154" s="817"/>
      <c r="H154" s="528" t="s">
        <v>2097</v>
      </c>
      <c r="I154" s="529"/>
      <c r="J154" s="529"/>
      <c r="K154" s="820"/>
      <c r="L154" s="530" t="s">
        <v>2097</v>
      </c>
    </row>
    <row r="155" spans="1:12" ht="16" thickBot="1" x14ac:dyDescent="0.25">
      <c r="A155" s="817"/>
      <c r="B155" s="528" t="s">
        <v>2098</v>
      </c>
      <c r="C155" s="529"/>
      <c r="D155" s="529"/>
      <c r="E155" s="820"/>
      <c r="F155" s="530" t="s">
        <v>2098</v>
      </c>
      <c r="G155" s="817"/>
      <c r="H155" s="528" t="s">
        <v>2098</v>
      </c>
      <c r="I155" s="529"/>
      <c r="J155" s="529"/>
      <c r="K155" s="820"/>
      <c r="L155" s="530" t="s">
        <v>2098</v>
      </c>
    </row>
    <row r="156" spans="1:12" ht="16" thickBot="1" x14ac:dyDescent="0.25">
      <c r="A156" s="817"/>
      <c r="B156" s="528" t="s">
        <v>2099</v>
      </c>
      <c r="C156" s="529"/>
      <c r="D156" s="529"/>
      <c r="E156" s="820"/>
      <c r="F156" s="530" t="s">
        <v>2099</v>
      </c>
      <c r="G156" s="817"/>
      <c r="H156" s="528" t="s">
        <v>2099</v>
      </c>
      <c r="I156" s="529"/>
      <c r="J156" s="529"/>
      <c r="K156" s="820"/>
      <c r="L156" s="530" t="s">
        <v>2099</v>
      </c>
    </row>
    <row r="157" spans="1:12" ht="16" thickBot="1" x14ac:dyDescent="0.25">
      <c r="A157" s="817"/>
      <c r="B157" s="528" t="s">
        <v>2100</v>
      </c>
      <c r="C157" s="529"/>
      <c r="D157" s="529"/>
      <c r="E157" s="820"/>
      <c r="F157" s="530" t="s">
        <v>2100</v>
      </c>
      <c r="G157" s="817"/>
      <c r="H157" s="528" t="s">
        <v>2100</v>
      </c>
      <c r="I157" s="529"/>
      <c r="J157" s="529"/>
      <c r="K157" s="820"/>
      <c r="L157" s="530" t="s">
        <v>2100</v>
      </c>
    </row>
    <row r="158" spans="1:12" ht="16" thickBot="1" x14ac:dyDescent="0.25">
      <c r="A158" s="817"/>
      <c r="B158" s="528" t="s">
        <v>2101</v>
      </c>
      <c r="C158" s="529"/>
      <c r="D158" s="529"/>
      <c r="E158" s="820"/>
      <c r="F158" s="530" t="s">
        <v>2101</v>
      </c>
      <c r="G158" s="817"/>
      <c r="H158" s="528" t="s">
        <v>2101</v>
      </c>
      <c r="I158" s="529"/>
      <c r="J158" s="529"/>
      <c r="K158" s="820"/>
      <c r="L158" s="530" t="s">
        <v>2101</v>
      </c>
    </row>
    <row r="159" spans="1:12" ht="16" thickBot="1" x14ac:dyDescent="0.25">
      <c r="A159" s="817"/>
      <c r="B159" s="528" t="s">
        <v>2102</v>
      </c>
      <c r="C159" s="529"/>
      <c r="D159" s="529"/>
      <c r="E159" s="820"/>
      <c r="F159" s="530" t="s">
        <v>2102</v>
      </c>
      <c r="G159" s="817"/>
      <c r="H159" s="528" t="s">
        <v>2102</v>
      </c>
      <c r="I159" s="529"/>
      <c r="J159" s="529"/>
      <c r="K159" s="820"/>
      <c r="L159" s="530" t="s">
        <v>2102</v>
      </c>
    </row>
    <row r="160" spans="1:12" ht="16" thickBot="1" x14ac:dyDescent="0.25">
      <c r="A160" s="817"/>
      <c r="B160" s="528" t="s">
        <v>2103</v>
      </c>
      <c r="C160" s="529"/>
      <c r="D160" s="529"/>
      <c r="E160" s="820"/>
      <c r="F160" s="530" t="s">
        <v>2103</v>
      </c>
      <c r="G160" s="817"/>
      <c r="H160" s="528" t="s">
        <v>2103</v>
      </c>
      <c r="I160" s="529"/>
      <c r="J160" s="529"/>
      <c r="K160" s="820"/>
      <c r="L160" s="530" t="s">
        <v>2103</v>
      </c>
    </row>
    <row r="161" spans="1:12" ht="16" thickBot="1" x14ac:dyDescent="0.25">
      <c r="A161" s="817"/>
      <c r="B161" s="528" t="s">
        <v>2104</v>
      </c>
      <c r="C161" s="529"/>
      <c r="D161" s="529"/>
      <c r="E161" s="820"/>
      <c r="F161" s="530" t="s">
        <v>2105</v>
      </c>
      <c r="G161" s="817"/>
      <c r="H161" s="528" t="s">
        <v>2104</v>
      </c>
      <c r="I161" s="529"/>
      <c r="J161" s="529"/>
      <c r="K161" s="820"/>
      <c r="L161" s="530" t="s">
        <v>2105</v>
      </c>
    </row>
    <row r="162" spans="1:12" ht="16" thickBot="1" x14ac:dyDescent="0.25">
      <c r="A162" s="818"/>
      <c r="B162" s="531" t="s">
        <v>1993</v>
      </c>
      <c r="C162" s="532"/>
      <c r="D162" s="533"/>
      <c r="E162" s="821"/>
      <c r="F162" s="534" t="s">
        <v>2000</v>
      </c>
      <c r="G162" s="818"/>
      <c r="H162" s="531" t="s">
        <v>1993</v>
      </c>
      <c r="I162" s="532"/>
      <c r="J162" s="533">
        <v>0</v>
      </c>
      <c r="K162" s="821"/>
      <c r="L162" s="534" t="s">
        <v>2000</v>
      </c>
    </row>
    <row r="163" spans="1:12" ht="16" thickBot="1" x14ac:dyDescent="0.25">
      <c r="A163" s="816" t="s">
        <v>2117</v>
      </c>
      <c r="B163" s="528" t="s">
        <v>2093</v>
      </c>
      <c r="C163" s="529"/>
      <c r="D163" s="529"/>
      <c r="E163" s="819" t="s">
        <v>2117</v>
      </c>
      <c r="F163" s="530" t="s">
        <v>2093</v>
      </c>
      <c r="G163" s="816" t="s">
        <v>2117</v>
      </c>
      <c r="H163" s="528" t="s">
        <v>2093</v>
      </c>
      <c r="I163" s="529"/>
      <c r="J163" s="529">
        <v>0</v>
      </c>
      <c r="K163" s="819" t="s">
        <v>2117</v>
      </c>
      <c r="L163" s="530" t="s">
        <v>2093</v>
      </c>
    </row>
    <row r="164" spans="1:12" ht="16" thickBot="1" x14ac:dyDescent="0.25">
      <c r="A164" s="817"/>
      <c r="B164" s="528" t="s">
        <v>2094</v>
      </c>
      <c r="C164" s="529"/>
      <c r="D164" s="529"/>
      <c r="E164" s="820"/>
      <c r="F164" s="530" t="s">
        <v>2094</v>
      </c>
      <c r="G164" s="817"/>
      <c r="H164" s="528" t="s">
        <v>2094</v>
      </c>
      <c r="I164" s="529"/>
      <c r="J164" s="529"/>
      <c r="K164" s="820"/>
      <c r="L164" s="530" t="s">
        <v>2094</v>
      </c>
    </row>
    <row r="165" spans="1:12" ht="16" thickBot="1" x14ac:dyDescent="0.25">
      <c r="A165" s="817"/>
      <c r="B165" s="528" t="s">
        <v>2095</v>
      </c>
      <c r="C165" s="529"/>
      <c r="D165" s="529"/>
      <c r="E165" s="820"/>
      <c r="F165" s="530" t="s">
        <v>2095</v>
      </c>
      <c r="G165" s="817"/>
      <c r="H165" s="528" t="s">
        <v>2095</v>
      </c>
      <c r="I165" s="529"/>
      <c r="J165" s="529"/>
      <c r="K165" s="820"/>
      <c r="L165" s="530" t="s">
        <v>2095</v>
      </c>
    </row>
    <row r="166" spans="1:12" ht="16" thickBot="1" x14ac:dyDescent="0.25">
      <c r="A166" s="817"/>
      <c r="B166" s="528" t="s">
        <v>2096</v>
      </c>
      <c r="C166" s="529"/>
      <c r="D166" s="529"/>
      <c r="E166" s="820"/>
      <c r="F166" s="530" t="s">
        <v>2096</v>
      </c>
      <c r="G166" s="817"/>
      <c r="H166" s="528" t="s">
        <v>2096</v>
      </c>
      <c r="I166" s="529"/>
      <c r="J166" s="529"/>
      <c r="K166" s="820"/>
      <c r="L166" s="530" t="s">
        <v>2096</v>
      </c>
    </row>
    <row r="167" spans="1:12" ht="16" thickBot="1" x14ac:dyDescent="0.25">
      <c r="A167" s="817"/>
      <c r="B167" s="528" t="s">
        <v>2097</v>
      </c>
      <c r="C167" s="529"/>
      <c r="D167" s="529"/>
      <c r="E167" s="820"/>
      <c r="F167" s="530" t="s">
        <v>2097</v>
      </c>
      <c r="G167" s="817"/>
      <c r="H167" s="528" t="s">
        <v>2097</v>
      </c>
      <c r="I167" s="529"/>
      <c r="J167" s="529"/>
      <c r="K167" s="820"/>
      <c r="L167" s="530" t="s">
        <v>2097</v>
      </c>
    </row>
    <row r="168" spans="1:12" ht="16" thickBot="1" x14ac:dyDescent="0.25">
      <c r="A168" s="817"/>
      <c r="B168" s="528" t="s">
        <v>2098</v>
      </c>
      <c r="C168" s="529"/>
      <c r="D168" s="529"/>
      <c r="E168" s="820"/>
      <c r="F168" s="530" t="s">
        <v>2098</v>
      </c>
      <c r="G168" s="817"/>
      <c r="H168" s="528" t="s">
        <v>2098</v>
      </c>
      <c r="I168" s="529"/>
      <c r="J168" s="529"/>
      <c r="K168" s="820"/>
      <c r="L168" s="530" t="s">
        <v>2098</v>
      </c>
    </row>
    <row r="169" spans="1:12" ht="16" thickBot="1" x14ac:dyDescent="0.25">
      <c r="A169" s="817"/>
      <c r="B169" s="528" t="s">
        <v>2099</v>
      </c>
      <c r="C169" s="529"/>
      <c r="D169" s="529"/>
      <c r="E169" s="820"/>
      <c r="F169" s="530" t="s">
        <v>2099</v>
      </c>
      <c r="G169" s="817"/>
      <c r="H169" s="528" t="s">
        <v>2099</v>
      </c>
      <c r="I169" s="529"/>
      <c r="J169" s="529"/>
      <c r="K169" s="820"/>
      <c r="L169" s="530" t="s">
        <v>2099</v>
      </c>
    </row>
    <row r="170" spans="1:12" ht="16" thickBot="1" x14ac:dyDescent="0.25">
      <c r="A170" s="817"/>
      <c r="B170" s="528" t="s">
        <v>2100</v>
      </c>
      <c r="C170" s="529"/>
      <c r="D170" s="529"/>
      <c r="E170" s="820"/>
      <c r="F170" s="530" t="s">
        <v>2100</v>
      </c>
      <c r="G170" s="817"/>
      <c r="H170" s="528" t="s">
        <v>2100</v>
      </c>
      <c r="I170" s="529"/>
      <c r="J170" s="529"/>
      <c r="K170" s="820"/>
      <c r="L170" s="530" t="s">
        <v>2100</v>
      </c>
    </row>
    <row r="171" spans="1:12" ht="16" thickBot="1" x14ac:dyDescent="0.25">
      <c r="A171" s="817"/>
      <c r="B171" s="528" t="s">
        <v>2101</v>
      </c>
      <c r="C171" s="529"/>
      <c r="D171" s="529"/>
      <c r="E171" s="820"/>
      <c r="F171" s="530" t="s">
        <v>2101</v>
      </c>
      <c r="G171" s="817"/>
      <c r="H171" s="528" t="s">
        <v>2101</v>
      </c>
      <c r="I171" s="529"/>
      <c r="J171" s="529"/>
      <c r="K171" s="820"/>
      <c r="L171" s="530" t="s">
        <v>2101</v>
      </c>
    </row>
    <row r="172" spans="1:12" ht="16" thickBot="1" x14ac:dyDescent="0.25">
      <c r="A172" s="817"/>
      <c r="B172" s="528" t="s">
        <v>2102</v>
      </c>
      <c r="C172" s="529"/>
      <c r="D172" s="529"/>
      <c r="E172" s="820"/>
      <c r="F172" s="530" t="s">
        <v>2102</v>
      </c>
      <c r="G172" s="817"/>
      <c r="H172" s="528" t="s">
        <v>2102</v>
      </c>
      <c r="I172" s="529"/>
      <c r="J172" s="529"/>
      <c r="K172" s="820"/>
      <c r="L172" s="530" t="s">
        <v>2102</v>
      </c>
    </row>
    <row r="173" spans="1:12" ht="16" thickBot="1" x14ac:dyDescent="0.25">
      <c r="A173" s="817"/>
      <c r="B173" s="528" t="s">
        <v>2103</v>
      </c>
      <c r="C173" s="529"/>
      <c r="D173" s="529"/>
      <c r="E173" s="820"/>
      <c r="F173" s="530" t="s">
        <v>2103</v>
      </c>
      <c r="G173" s="817"/>
      <c r="H173" s="528" t="s">
        <v>2103</v>
      </c>
      <c r="I173" s="529"/>
      <c r="J173" s="529"/>
      <c r="K173" s="820"/>
      <c r="L173" s="530" t="s">
        <v>2103</v>
      </c>
    </row>
    <row r="174" spans="1:12" ht="16" thickBot="1" x14ac:dyDescent="0.25">
      <c r="A174" s="817"/>
      <c r="B174" s="528" t="s">
        <v>2104</v>
      </c>
      <c r="C174" s="529"/>
      <c r="D174" s="529"/>
      <c r="E174" s="820"/>
      <c r="F174" s="530" t="s">
        <v>2105</v>
      </c>
      <c r="G174" s="817"/>
      <c r="H174" s="528" t="s">
        <v>2104</v>
      </c>
      <c r="I174" s="529"/>
      <c r="J174" s="529"/>
      <c r="K174" s="820"/>
      <c r="L174" s="530" t="s">
        <v>2105</v>
      </c>
    </row>
    <row r="175" spans="1:12" ht="16" thickBot="1" x14ac:dyDescent="0.25">
      <c r="A175" s="818"/>
      <c r="B175" s="531" t="s">
        <v>1993</v>
      </c>
      <c r="C175" s="532"/>
      <c r="D175" s="533"/>
      <c r="E175" s="821"/>
      <c r="F175" s="534" t="s">
        <v>2000</v>
      </c>
      <c r="G175" s="818"/>
      <c r="H175" s="531" t="s">
        <v>1993</v>
      </c>
      <c r="I175" s="532"/>
      <c r="J175" s="533">
        <v>0</v>
      </c>
      <c r="K175" s="821"/>
      <c r="L175" s="534" t="s">
        <v>2000</v>
      </c>
    </row>
    <row r="176" spans="1:12" ht="16" thickBot="1" x14ac:dyDescent="0.25">
      <c r="A176" s="816" t="s">
        <v>2118</v>
      </c>
      <c r="B176" s="528" t="s">
        <v>2093</v>
      </c>
      <c r="C176" s="529"/>
      <c r="D176" s="529"/>
      <c r="E176" s="819" t="s">
        <v>2118</v>
      </c>
      <c r="F176" s="530" t="s">
        <v>2093</v>
      </c>
      <c r="G176" s="816" t="s">
        <v>2118</v>
      </c>
      <c r="H176" s="528" t="s">
        <v>2093</v>
      </c>
      <c r="I176" s="529"/>
      <c r="J176" s="529"/>
      <c r="K176" s="819" t="s">
        <v>2118</v>
      </c>
      <c r="L176" s="530" t="s">
        <v>2093</v>
      </c>
    </row>
    <row r="177" spans="1:12" ht="16" thickBot="1" x14ac:dyDescent="0.25">
      <c r="A177" s="817"/>
      <c r="B177" s="528" t="s">
        <v>2094</v>
      </c>
      <c r="C177" s="529"/>
      <c r="D177" s="529"/>
      <c r="E177" s="820"/>
      <c r="F177" s="530" t="s">
        <v>2094</v>
      </c>
      <c r="G177" s="817"/>
      <c r="H177" s="528" t="s">
        <v>2094</v>
      </c>
      <c r="I177" s="529"/>
      <c r="J177" s="529"/>
      <c r="K177" s="820"/>
      <c r="L177" s="530" t="s">
        <v>2094</v>
      </c>
    </row>
    <row r="178" spans="1:12" ht="16" thickBot="1" x14ac:dyDescent="0.25">
      <c r="A178" s="817"/>
      <c r="B178" s="528" t="s">
        <v>2095</v>
      </c>
      <c r="C178" s="529"/>
      <c r="D178" s="529"/>
      <c r="E178" s="820"/>
      <c r="F178" s="530" t="s">
        <v>2095</v>
      </c>
      <c r="G178" s="817"/>
      <c r="H178" s="528" t="s">
        <v>2095</v>
      </c>
      <c r="I178" s="529"/>
      <c r="J178" s="529"/>
      <c r="K178" s="820"/>
      <c r="L178" s="530" t="s">
        <v>2095</v>
      </c>
    </row>
    <row r="179" spans="1:12" ht="16" thickBot="1" x14ac:dyDescent="0.25">
      <c r="A179" s="817"/>
      <c r="B179" s="528" t="s">
        <v>2096</v>
      </c>
      <c r="C179" s="529"/>
      <c r="D179" s="529"/>
      <c r="E179" s="820"/>
      <c r="F179" s="530" t="s">
        <v>2096</v>
      </c>
      <c r="G179" s="817"/>
      <c r="H179" s="528" t="s">
        <v>2096</v>
      </c>
      <c r="I179" s="529"/>
      <c r="J179" s="529"/>
      <c r="K179" s="820"/>
      <c r="L179" s="530" t="s">
        <v>2096</v>
      </c>
    </row>
    <row r="180" spans="1:12" ht="16" thickBot="1" x14ac:dyDescent="0.25">
      <c r="A180" s="817"/>
      <c r="B180" s="528" t="s">
        <v>2097</v>
      </c>
      <c r="C180" s="529"/>
      <c r="D180" s="529"/>
      <c r="E180" s="820"/>
      <c r="F180" s="530" t="s">
        <v>2097</v>
      </c>
      <c r="G180" s="817"/>
      <c r="H180" s="528" t="s">
        <v>2097</v>
      </c>
      <c r="I180" s="529"/>
      <c r="J180" s="529"/>
      <c r="K180" s="820"/>
      <c r="L180" s="530" t="s">
        <v>2097</v>
      </c>
    </row>
    <row r="181" spans="1:12" ht="16" thickBot="1" x14ac:dyDescent="0.25">
      <c r="A181" s="817"/>
      <c r="B181" s="528" t="s">
        <v>2098</v>
      </c>
      <c r="C181" s="529"/>
      <c r="D181" s="529"/>
      <c r="E181" s="820"/>
      <c r="F181" s="530" t="s">
        <v>2098</v>
      </c>
      <c r="G181" s="817"/>
      <c r="H181" s="528" t="s">
        <v>2098</v>
      </c>
      <c r="I181" s="529"/>
      <c r="J181" s="529"/>
      <c r="K181" s="820"/>
      <c r="L181" s="530" t="s">
        <v>2098</v>
      </c>
    </row>
    <row r="182" spans="1:12" ht="16" thickBot="1" x14ac:dyDescent="0.25">
      <c r="A182" s="817"/>
      <c r="B182" s="528" t="s">
        <v>2099</v>
      </c>
      <c r="C182" s="529"/>
      <c r="D182" s="529"/>
      <c r="E182" s="820"/>
      <c r="F182" s="530" t="s">
        <v>2099</v>
      </c>
      <c r="G182" s="817"/>
      <c r="H182" s="528" t="s">
        <v>2099</v>
      </c>
      <c r="I182" s="529"/>
      <c r="J182" s="529"/>
      <c r="K182" s="820"/>
      <c r="L182" s="530" t="s">
        <v>2099</v>
      </c>
    </row>
    <row r="183" spans="1:12" ht="16" thickBot="1" x14ac:dyDescent="0.25">
      <c r="A183" s="817"/>
      <c r="B183" s="528" t="s">
        <v>2100</v>
      </c>
      <c r="C183" s="529"/>
      <c r="D183" s="529"/>
      <c r="E183" s="820"/>
      <c r="F183" s="530" t="s">
        <v>2100</v>
      </c>
      <c r="G183" s="817"/>
      <c r="H183" s="528" t="s">
        <v>2100</v>
      </c>
      <c r="I183" s="529"/>
      <c r="J183" s="529"/>
      <c r="K183" s="820"/>
      <c r="L183" s="530" t="s">
        <v>2100</v>
      </c>
    </row>
    <row r="184" spans="1:12" ht="16" thickBot="1" x14ac:dyDescent="0.25">
      <c r="A184" s="817"/>
      <c r="B184" s="528" t="s">
        <v>2101</v>
      </c>
      <c r="C184" s="529"/>
      <c r="D184" s="529"/>
      <c r="E184" s="820"/>
      <c r="F184" s="530" t="s">
        <v>2101</v>
      </c>
      <c r="G184" s="817"/>
      <c r="H184" s="528" t="s">
        <v>2101</v>
      </c>
      <c r="I184" s="529"/>
      <c r="J184" s="529"/>
      <c r="K184" s="820"/>
      <c r="L184" s="530" t="s">
        <v>2101</v>
      </c>
    </row>
    <row r="185" spans="1:12" ht="16" thickBot="1" x14ac:dyDescent="0.25">
      <c r="A185" s="817"/>
      <c r="B185" s="528" t="s">
        <v>2102</v>
      </c>
      <c r="C185" s="529"/>
      <c r="D185" s="529"/>
      <c r="E185" s="820"/>
      <c r="F185" s="530" t="s">
        <v>2102</v>
      </c>
      <c r="G185" s="817"/>
      <c r="H185" s="528" t="s">
        <v>2102</v>
      </c>
      <c r="I185" s="529"/>
      <c r="J185" s="529"/>
      <c r="K185" s="820"/>
      <c r="L185" s="530" t="s">
        <v>2102</v>
      </c>
    </row>
    <row r="186" spans="1:12" ht="16" thickBot="1" x14ac:dyDescent="0.25">
      <c r="A186" s="817"/>
      <c r="B186" s="528" t="s">
        <v>2103</v>
      </c>
      <c r="C186" s="529"/>
      <c r="D186" s="529"/>
      <c r="E186" s="820"/>
      <c r="F186" s="530" t="s">
        <v>2103</v>
      </c>
      <c r="G186" s="817"/>
      <c r="H186" s="528" t="s">
        <v>2103</v>
      </c>
      <c r="I186" s="529"/>
      <c r="J186" s="529"/>
      <c r="K186" s="820"/>
      <c r="L186" s="530" t="s">
        <v>2103</v>
      </c>
    </row>
    <row r="187" spans="1:12" ht="16" thickBot="1" x14ac:dyDescent="0.25">
      <c r="A187" s="817"/>
      <c r="B187" s="528" t="s">
        <v>2104</v>
      </c>
      <c r="C187" s="529"/>
      <c r="D187" s="529"/>
      <c r="E187" s="820"/>
      <c r="F187" s="530" t="s">
        <v>2105</v>
      </c>
      <c r="G187" s="817"/>
      <c r="H187" s="528" t="s">
        <v>2104</v>
      </c>
      <c r="I187" s="529"/>
      <c r="J187" s="529"/>
      <c r="K187" s="820"/>
      <c r="L187" s="530" t="s">
        <v>2105</v>
      </c>
    </row>
    <row r="188" spans="1:12" ht="16" thickBot="1" x14ac:dyDescent="0.25">
      <c r="A188" s="818"/>
      <c r="B188" s="531" t="s">
        <v>1993</v>
      </c>
      <c r="C188" s="532"/>
      <c r="D188" s="533"/>
      <c r="E188" s="821"/>
      <c r="F188" s="534" t="s">
        <v>2000</v>
      </c>
      <c r="G188" s="818"/>
      <c r="H188" s="531" t="s">
        <v>1993</v>
      </c>
      <c r="I188" s="532"/>
      <c r="J188" s="533">
        <v>0</v>
      </c>
      <c r="K188" s="821"/>
      <c r="L188" s="534" t="s">
        <v>2000</v>
      </c>
    </row>
    <row r="189" spans="1:12" ht="16" thickBot="1" x14ac:dyDescent="0.25">
      <c r="A189" s="816" t="s">
        <v>2119</v>
      </c>
      <c r="B189" s="528" t="s">
        <v>2093</v>
      </c>
      <c r="C189" s="529"/>
      <c r="D189" s="529"/>
      <c r="E189" s="819" t="s">
        <v>2119</v>
      </c>
      <c r="F189" s="530" t="s">
        <v>2093</v>
      </c>
      <c r="G189" s="816" t="s">
        <v>2119</v>
      </c>
      <c r="H189" s="528" t="s">
        <v>2093</v>
      </c>
      <c r="I189" s="529"/>
      <c r="J189" s="529"/>
      <c r="K189" s="819" t="s">
        <v>2119</v>
      </c>
      <c r="L189" s="530" t="s">
        <v>2093</v>
      </c>
    </row>
    <row r="190" spans="1:12" ht="16" thickBot="1" x14ac:dyDescent="0.25">
      <c r="A190" s="817"/>
      <c r="B190" s="528" t="s">
        <v>2094</v>
      </c>
      <c r="C190" s="529"/>
      <c r="D190" s="529"/>
      <c r="E190" s="820"/>
      <c r="F190" s="530" t="s">
        <v>2094</v>
      </c>
      <c r="G190" s="817"/>
      <c r="H190" s="528" t="s">
        <v>2094</v>
      </c>
      <c r="I190" s="529"/>
      <c r="J190" s="529"/>
      <c r="K190" s="820"/>
      <c r="L190" s="530" t="s">
        <v>2094</v>
      </c>
    </row>
    <row r="191" spans="1:12" ht="16" thickBot="1" x14ac:dyDescent="0.25">
      <c r="A191" s="817"/>
      <c r="B191" s="528" t="s">
        <v>2095</v>
      </c>
      <c r="C191" s="529"/>
      <c r="D191" s="529"/>
      <c r="E191" s="820"/>
      <c r="F191" s="530" t="s">
        <v>2095</v>
      </c>
      <c r="G191" s="817"/>
      <c r="H191" s="528" t="s">
        <v>2095</v>
      </c>
      <c r="I191" s="529"/>
      <c r="J191" s="529"/>
      <c r="K191" s="820"/>
      <c r="L191" s="530" t="s">
        <v>2095</v>
      </c>
    </row>
    <row r="192" spans="1:12" ht="16" thickBot="1" x14ac:dyDescent="0.25">
      <c r="A192" s="817"/>
      <c r="B192" s="528" t="s">
        <v>2096</v>
      </c>
      <c r="C192" s="529"/>
      <c r="D192" s="529"/>
      <c r="E192" s="820"/>
      <c r="F192" s="530" t="s">
        <v>2096</v>
      </c>
      <c r="G192" s="817"/>
      <c r="H192" s="528" t="s">
        <v>2096</v>
      </c>
      <c r="I192" s="529"/>
      <c r="J192" s="529"/>
      <c r="K192" s="820"/>
      <c r="L192" s="530" t="s">
        <v>2096</v>
      </c>
    </row>
    <row r="193" spans="1:12" ht="16" thickBot="1" x14ac:dyDescent="0.25">
      <c r="A193" s="817"/>
      <c r="B193" s="528" t="s">
        <v>2097</v>
      </c>
      <c r="C193" s="529"/>
      <c r="D193" s="529"/>
      <c r="E193" s="820"/>
      <c r="F193" s="530" t="s">
        <v>2097</v>
      </c>
      <c r="G193" s="817"/>
      <c r="H193" s="528" t="s">
        <v>2097</v>
      </c>
      <c r="I193" s="529"/>
      <c r="J193" s="529"/>
      <c r="K193" s="820"/>
      <c r="L193" s="530" t="s">
        <v>2097</v>
      </c>
    </row>
    <row r="194" spans="1:12" ht="16" thickBot="1" x14ac:dyDescent="0.25">
      <c r="A194" s="817"/>
      <c r="B194" s="528" t="s">
        <v>2098</v>
      </c>
      <c r="C194" s="529"/>
      <c r="D194" s="529"/>
      <c r="E194" s="820"/>
      <c r="F194" s="530" t="s">
        <v>2098</v>
      </c>
      <c r="G194" s="817"/>
      <c r="H194" s="528" t="s">
        <v>2098</v>
      </c>
      <c r="I194" s="529"/>
      <c r="J194" s="529"/>
      <c r="K194" s="820"/>
      <c r="L194" s="530" t="s">
        <v>2098</v>
      </c>
    </row>
    <row r="195" spans="1:12" ht="16" thickBot="1" x14ac:dyDescent="0.25">
      <c r="A195" s="817"/>
      <c r="B195" s="528" t="s">
        <v>2099</v>
      </c>
      <c r="C195" s="529"/>
      <c r="D195" s="529"/>
      <c r="E195" s="820"/>
      <c r="F195" s="530" t="s">
        <v>2099</v>
      </c>
      <c r="G195" s="817"/>
      <c r="H195" s="528" t="s">
        <v>2099</v>
      </c>
      <c r="I195" s="529"/>
      <c r="J195" s="529"/>
      <c r="K195" s="820"/>
      <c r="L195" s="530" t="s">
        <v>2099</v>
      </c>
    </row>
    <row r="196" spans="1:12" ht="16" thickBot="1" x14ac:dyDescent="0.25">
      <c r="A196" s="817"/>
      <c r="B196" s="528" t="s">
        <v>2100</v>
      </c>
      <c r="C196" s="529"/>
      <c r="D196" s="529"/>
      <c r="E196" s="820"/>
      <c r="F196" s="530" t="s">
        <v>2100</v>
      </c>
      <c r="G196" s="817"/>
      <c r="H196" s="528" t="s">
        <v>2100</v>
      </c>
      <c r="I196" s="529"/>
      <c r="J196" s="529"/>
      <c r="K196" s="820"/>
      <c r="L196" s="530" t="s">
        <v>2100</v>
      </c>
    </row>
    <row r="197" spans="1:12" ht="16" thickBot="1" x14ac:dyDescent="0.25">
      <c r="A197" s="817"/>
      <c r="B197" s="528" t="s">
        <v>2101</v>
      </c>
      <c r="C197" s="529"/>
      <c r="D197" s="529"/>
      <c r="E197" s="820"/>
      <c r="F197" s="530" t="s">
        <v>2101</v>
      </c>
      <c r="G197" s="817"/>
      <c r="H197" s="528" t="s">
        <v>2101</v>
      </c>
      <c r="I197" s="529"/>
      <c r="J197" s="529"/>
      <c r="K197" s="820"/>
      <c r="L197" s="530" t="s">
        <v>2101</v>
      </c>
    </row>
    <row r="198" spans="1:12" ht="16" thickBot="1" x14ac:dyDescent="0.25">
      <c r="A198" s="817"/>
      <c r="B198" s="528" t="s">
        <v>2102</v>
      </c>
      <c r="C198" s="529"/>
      <c r="D198" s="529"/>
      <c r="E198" s="820"/>
      <c r="F198" s="530" t="s">
        <v>2102</v>
      </c>
      <c r="G198" s="817"/>
      <c r="H198" s="528" t="s">
        <v>2102</v>
      </c>
      <c r="I198" s="529"/>
      <c r="J198" s="529"/>
      <c r="K198" s="820"/>
      <c r="L198" s="530" t="s">
        <v>2102</v>
      </c>
    </row>
    <row r="199" spans="1:12" ht="16" thickBot="1" x14ac:dyDescent="0.25">
      <c r="A199" s="817"/>
      <c r="B199" s="528" t="s">
        <v>2103</v>
      </c>
      <c r="C199" s="529"/>
      <c r="D199" s="529"/>
      <c r="E199" s="820"/>
      <c r="F199" s="530" t="s">
        <v>2103</v>
      </c>
      <c r="G199" s="817"/>
      <c r="H199" s="528" t="s">
        <v>2103</v>
      </c>
      <c r="I199" s="529"/>
      <c r="J199" s="529"/>
      <c r="K199" s="820"/>
      <c r="L199" s="530" t="s">
        <v>2103</v>
      </c>
    </row>
    <row r="200" spans="1:12" ht="16" thickBot="1" x14ac:dyDescent="0.25">
      <c r="A200" s="817"/>
      <c r="B200" s="528" t="s">
        <v>2104</v>
      </c>
      <c r="C200" s="529"/>
      <c r="D200" s="529"/>
      <c r="E200" s="820"/>
      <c r="F200" s="530" t="s">
        <v>2105</v>
      </c>
      <c r="G200" s="817"/>
      <c r="H200" s="528" t="s">
        <v>2104</v>
      </c>
      <c r="I200" s="529"/>
      <c r="J200" s="529"/>
      <c r="K200" s="820"/>
      <c r="L200" s="530" t="s">
        <v>2105</v>
      </c>
    </row>
    <row r="201" spans="1:12" ht="16" thickBot="1" x14ac:dyDescent="0.25">
      <c r="A201" s="818"/>
      <c r="B201" s="531" t="s">
        <v>1993</v>
      </c>
      <c r="C201" s="532"/>
      <c r="D201" s="533"/>
      <c r="E201" s="821"/>
      <c r="F201" s="534" t="s">
        <v>2000</v>
      </c>
      <c r="G201" s="818"/>
      <c r="H201" s="531" t="s">
        <v>1993</v>
      </c>
      <c r="I201" s="532"/>
      <c r="J201" s="533">
        <v>0</v>
      </c>
      <c r="K201" s="821"/>
      <c r="L201" s="534" t="s">
        <v>2000</v>
      </c>
    </row>
    <row r="202" spans="1:12" ht="16" thickBot="1" x14ac:dyDescent="0.25">
      <c r="A202" s="816" t="s">
        <v>2120</v>
      </c>
      <c r="B202" s="528" t="s">
        <v>2093</v>
      </c>
      <c r="C202" s="529"/>
      <c r="D202" s="529"/>
      <c r="E202" s="819" t="s">
        <v>2120</v>
      </c>
      <c r="F202" s="530" t="s">
        <v>2093</v>
      </c>
      <c r="G202" s="816" t="s">
        <v>2120</v>
      </c>
      <c r="H202" s="528" t="s">
        <v>2093</v>
      </c>
      <c r="I202" s="529">
        <v>700000</v>
      </c>
      <c r="J202" s="529">
        <v>700000</v>
      </c>
      <c r="K202" s="819" t="s">
        <v>2120</v>
      </c>
      <c r="L202" s="530" t="s">
        <v>2093</v>
      </c>
    </row>
    <row r="203" spans="1:12" ht="16" thickBot="1" x14ac:dyDescent="0.25">
      <c r="A203" s="817"/>
      <c r="B203" s="528" t="s">
        <v>2094</v>
      </c>
      <c r="C203" s="529"/>
      <c r="D203" s="529"/>
      <c r="E203" s="820"/>
      <c r="F203" s="530" t="s">
        <v>2094</v>
      </c>
      <c r="G203" s="817"/>
      <c r="H203" s="528" t="s">
        <v>2094</v>
      </c>
      <c r="I203" s="529"/>
      <c r="J203" s="529"/>
      <c r="K203" s="820"/>
      <c r="L203" s="530" t="s">
        <v>2094</v>
      </c>
    </row>
    <row r="204" spans="1:12" ht="16" thickBot="1" x14ac:dyDescent="0.25">
      <c r="A204" s="817"/>
      <c r="B204" s="528" t="s">
        <v>2095</v>
      </c>
      <c r="C204" s="529"/>
      <c r="D204" s="529"/>
      <c r="E204" s="820"/>
      <c r="F204" s="530" t="s">
        <v>2095</v>
      </c>
      <c r="G204" s="817"/>
      <c r="H204" s="528" t="s">
        <v>2095</v>
      </c>
      <c r="I204" s="529"/>
      <c r="J204" s="529"/>
      <c r="K204" s="820"/>
      <c r="L204" s="530" t="s">
        <v>2095</v>
      </c>
    </row>
    <row r="205" spans="1:12" ht="16" thickBot="1" x14ac:dyDescent="0.25">
      <c r="A205" s="817"/>
      <c r="B205" s="528" t="s">
        <v>2096</v>
      </c>
      <c r="C205" s="529"/>
      <c r="D205" s="529"/>
      <c r="E205" s="820"/>
      <c r="F205" s="530" t="s">
        <v>2096</v>
      </c>
      <c r="G205" s="817"/>
      <c r="H205" s="528" t="s">
        <v>2096</v>
      </c>
      <c r="I205" s="529"/>
      <c r="J205" s="529"/>
      <c r="K205" s="820"/>
      <c r="L205" s="530" t="s">
        <v>2096</v>
      </c>
    </row>
    <row r="206" spans="1:12" ht="16" thickBot="1" x14ac:dyDescent="0.25">
      <c r="A206" s="817"/>
      <c r="B206" s="528" t="s">
        <v>2097</v>
      </c>
      <c r="C206" s="529"/>
      <c r="D206" s="529"/>
      <c r="E206" s="820"/>
      <c r="F206" s="530" t="s">
        <v>2097</v>
      </c>
      <c r="G206" s="817"/>
      <c r="H206" s="528" t="s">
        <v>2097</v>
      </c>
      <c r="I206" s="529"/>
      <c r="J206" s="529"/>
      <c r="K206" s="820"/>
      <c r="L206" s="530" t="s">
        <v>2097</v>
      </c>
    </row>
    <row r="207" spans="1:12" ht="16" thickBot="1" x14ac:dyDescent="0.25">
      <c r="A207" s="817"/>
      <c r="B207" s="528" t="s">
        <v>2098</v>
      </c>
      <c r="C207" s="529"/>
      <c r="D207" s="529"/>
      <c r="E207" s="820"/>
      <c r="F207" s="530" t="s">
        <v>2098</v>
      </c>
      <c r="G207" s="817"/>
      <c r="H207" s="528" t="s">
        <v>2098</v>
      </c>
      <c r="I207" s="529"/>
      <c r="J207" s="529"/>
      <c r="K207" s="820"/>
      <c r="L207" s="530" t="s">
        <v>2098</v>
      </c>
    </row>
    <row r="208" spans="1:12" ht="16" thickBot="1" x14ac:dyDescent="0.25">
      <c r="A208" s="817"/>
      <c r="B208" s="528" t="s">
        <v>2099</v>
      </c>
      <c r="C208" s="529"/>
      <c r="D208" s="529"/>
      <c r="E208" s="820"/>
      <c r="F208" s="530" t="s">
        <v>2099</v>
      </c>
      <c r="G208" s="817"/>
      <c r="H208" s="528" t="s">
        <v>2099</v>
      </c>
      <c r="I208" s="529"/>
      <c r="J208" s="529"/>
      <c r="K208" s="820"/>
      <c r="L208" s="530" t="s">
        <v>2099</v>
      </c>
    </row>
    <row r="209" spans="1:12" ht="16" thickBot="1" x14ac:dyDescent="0.25">
      <c r="A209" s="817"/>
      <c r="B209" s="528" t="s">
        <v>2100</v>
      </c>
      <c r="C209" s="529"/>
      <c r="D209" s="529"/>
      <c r="E209" s="820"/>
      <c r="F209" s="530" t="s">
        <v>2100</v>
      </c>
      <c r="G209" s="817"/>
      <c r="H209" s="528" t="s">
        <v>2100</v>
      </c>
      <c r="I209" s="529"/>
      <c r="J209" s="529"/>
      <c r="K209" s="820"/>
      <c r="L209" s="530" t="s">
        <v>2100</v>
      </c>
    </row>
    <row r="210" spans="1:12" ht="16" thickBot="1" x14ac:dyDescent="0.25">
      <c r="A210" s="817"/>
      <c r="B210" s="528" t="s">
        <v>2101</v>
      </c>
      <c r="C210" s="529"/>
      <c r="D210" s="529"/>
      <c r="E210" s="820"/>
      <c r="F210" s="530" t="s">
        <v>2101</v>
      </c>
      <c r="G210" s="817"/>
      <c r="H210" s="528" t="s">
        <v>2101</v>
      </c>
      <c r="I210" s="529"/>
      <c r="J210" s="529"/>
      <c r="K210" s="820"/>
      <c r="L210" s="530" t="s">
        <v>2101</v>
      </c>
    </row>
    <row r="211" spans="1:12" ht="16" thickBot="1" x14ac:dyDescent="0.25">
      <c r="A211" s="817"/>
      <c r="B211" s="528" t="s">
        <v>2102</v>
      </c>
      <c r="C211" s="529"/>
      <c r="D211" s="529"/>
      <c r="E211" s="820"/>
      <c r="F211" s="530" t="s">
        <v>2102</v>
      </c>
      <c r="G211" s="817"/>
      <c r="H211" s="528" t="s">
        <v>2102</v>
      </c>
      <c r="I211" s="529"/>
      <c r="J211" s="529"/>
      <c r="K211" s="820"/>
      <c r="L211" s="530" t="s">
        <v>2102</v>
      </c>
    </row>
    <row r="212" spans="1:12" ht="16" thickBot="1" x14ac:dyDescent="0.25">
      <c r="A212" s="817"/>
      <c r="B212" s="528" t="s">
        <v>2103</v>
      </c>
      <c r="C212" s="529"/>
      <c r="D212" s="529"/>
      <c r="E212" s="820"/>
      <c r="F212" s="530" t="s">
        <v>2103</v>
      </c>
      <c r="G212" s="817"/>
      <c r="H212" s="528" t="s">
        <v>2103</v>
      </c>
      <c r="I212" s="529"/>
      <c r="J212" s="529"/>
      <c r="K212" s="820"/>
      <c r="L212" s="530" t="s">
        <v>2103</v>
      </c>
    </row>
    <row r="213" spans="1:12" ht="16" thickBot="1" x14ac:dyDescent="0.25">
      <c r="A213" s="817"/>
      <c r="B213" s="528" t="s">
        <v>2104</v>
      </c>
      <c r="C213" s="529"/>
      <c r="D213" s="529"/>
      <c r="E213" s="820"/>
      <c r="F213" s="530" t="s">
        <v>2105</v>
      </c>
      <c r="G213" s="817"/>
      <c r="H213" s="528" t="s">
        <v>2104</v>
      </c>
      <c r="I213" s="529"/>
      <c r="J213" s="529"/>
      <c r="K213" s="820"/>
      <c r="L213" s="530" t="s">
        <v>2105</v>
      </c>
    </row>
    <row r="214" spans="1:12" ht="16" thickBot="1" x14ac:dyDescent="0.25">
      <c r="A214" s="818"/>
      <c r="B214" s="531" t="s">
        <v>1993</v>
      </c>
      <c r="C214" s="532"/>
      <c r="D214" s="533"/>
      <c r="E214" s="821"/>
      <c r="F214" s="534" t="s">
        <v>2000</v>
      </c>
      <c r="G214" s="818"/>
      <c r="H214" s="531" t="s">
        <v>1993</v>
      </c>
      <c r="I214" s="532"/>
      <c r="J214" s="533">
        <v>700000</v>
      </c>
      <c r="K214" s="821"/>
      <c r="L214" s="534" t="s">
        <v>2000</v>
      </c>
    </row>
    <row r="215" spans="1:12" ht="16" thickBot="1" x14ac:dyDescent="0.25">
      <c r="A215" s="816" t="s">
        <v>2121</v>
      </c>
      <c r="B215" s="528" t="s">
        <v>2093</v>
      </c>
      <c r="C215" s="529"/>
      <c r="D215" s="529"/>
      <c r="E215" s="819" t="s">
        <v>2121</v>
      </c>
      <c r="F215" s="530" t="s">
        <v>2093</v>
      </c>
      <c r="G215" s="816" t="s">
        <v>2121</v>
      </c>
      <c r="H215" s="528" t="s">
        <v>2093</v>
      </c>
      <c r="I215" s="529"/>
      <c r="J215" s="529"/>
      <c r="K215" s="819" t="s">
        <v>2121</v>
      </c>
      <c r="L215" s="530" t="s">
        <v>2093</v>
      </c>
    </row>
    <row r="216" spans="1:12" ht="16" thickBot="1" x14ac:dyDescent="0.25">
      <c r="A216" s="817"/>
      <c r="B216" s="528" t="s">
        <v>2094</v>
      </c>
      <c r="C216" s="529"/>
      <c r="D216" s="529"/>
      <c r="E216" s="820"/>
      <c r="F216" s="530" t="s">
        <v>2094</v>
      </c>
      <c r="G216" s="817"/>
      <c r="H216" s="528" t="s">
        <v>2094</v>
      </c>
      <c r="I216" s="529"/>
      <c r="J216" s="529"/>
      <c r="K216" s="820"/>
      <c r="L216" s="530" t="s">
        <v>2094</v>
      </c>
    </row>
    <row r="217" spans="1:12" ht="16" thickBot="1" x14ac:dyDescent="0.25">
      <c r="A217" s="817"/>
      <c r="B217" s="528" t="s">
        <v>2095</v>
      </c>
      <c r="C217" s="529"/>
      <c r="D217" s="529"/>
      <c r="E217" s="820"/>
      <c r="F217" s="530" t="s">
        <v>2095</v>
      </c>
      <c r="G217" s="817"/>
      <c r="H217" s="528" t="s">
        <v>2095</v>
      </c>
      <c r="I217" s="529"/>
      <c r="J217" s="529"/>
      <c r="K217" s="820"/>
      <c r="L217" s="530" t="s">
        <v>2095</v>
      </c>
    </row>
    <row r="218" spans="1:12" ht="16" thickBot="1" x14ac:dyDescent="0.25">
      <c r="A218" s="817"/>
      <c r="B218" s="528" t="s">
        <v>2096</v>
      </c>
      <c r="C218" s="529"/>
      <c r="D218" s="529"/>
      <c r="E218" s="820"/>
      <c r="F218" s="530" t="s">
        <v>2096</v>
      </c>
      <c r="G218" s="817"/>
      <c r="H218" s="528" t="s">
        <v>2096</v>
      </c>
      <c r="I218" s="529"/>
      <c r="J218" s="529"/>
      <c r="K218" s="820"/>
      <c r="L218" s="530" t="s">
        <v>2096</v>
      </c>
    </row>
    <row r="219" spans="1:12" ht="16" thickBot="1" x14ac:dyDescent="0.25">
      <c r="A219" s="817"/>
      <c r="B219" s="528" t="s">
        <v>2097</v>
      </c>
      <c r="C219" s="529"/>
      <c r="D219" s="529"/>
      <c r="E219" s="820"/>
      <c r="F219" s="530" t="s">
        <v>2097</v>
      </c>
      <c r="G219" s="817"/>
      <c r="H219" s="528" t="s">
        <v>2097</v>
      </c>
      <c r="I219" s="529"/>
      <c r="J219" s="529"/>
      <c r="K219" s="820"/>
      <c r="L219" s="530" t="s">
        <v>2097</v>
      </c>
    </row>
    <row r="220" spans="1:12" ht="16" thickBot="1" x14ac:dyDescent="0.25">
      <c r="A220" s="817"/>
      <c r="B220" s="528" t="s">
        <v>2098</v>
      </c>
      <c r="C220" s="529"/>
      <c r="D220" s="529"/>
      <c r="E220" s="820"/>
      <c r="F220" s="530" t="s">
        <v>2098</v>
      </c>
      <c r="G220" s="817"/>
      <c r="H220" s="528" t="s">
        <v>2098</v>
      </c>
      <c r="I220" s="529"/>
      <c r="J220" s="529"/>
      <c r="K220" s="820"/>
      <c r="L220" s="530" t="s">
        <v>2098</v>
      </c>
    </row>
    <row r="221" spans="1:12" ht="16" thickBot="1" x14ac:dyDescent="0.25">
      <c r="A221" s="817"/>
      <c r="B221" s="528" t="s">
        <v>2099</v>
      </c>
      <c r="C221" s="529"/>
      <c r="D221" s="529"/>
      <c r="E221" s="820"/>
      <c r="F221" s="530" t="s">
        <v>2099</v>
      </c>
      <c r="G221" s="817"/>
      <c r="H221" s="528" t="s">
        <v>2099</v>
      </c>
      <c r="I221" s="529"/>
      <c r="J221" s="529"/>
      <c r="K221" s="820"/>
      <c r="L221" s="530" t="s">
        <v>2099</v>
      </c>
    </row>
    <row r="222" spans="1:12" ht="16" thickBot="1" x14ac:dyDescent="0.25">
      <c r="A222" s="817"/>
      <c r="B222" s="528" t="s">
        <v>2100</v>
      </c>
      <c r="C222" s="529"/>
      <c r="D222" s="529"/>
      <c r="E222" s="820"/>
      <c r="F222" s="530" t="s">
        <v>2100</v>
      </c>
      <c r="G222" s="817"/>
      <c r="H222" s="528" t="s">
        <v>2100</v>
      </c>
      <c r="I222" s="529"/>
      <c r="J222" s="529"/>
      <c r="K222" s="820"/>
      <c r="L222" s="530" t="s">
        <v>2100</v>
      </c>
    </row>
    <row r="223" spans="1:12" ht="16" thickBot="1" x14ac:dyDescent="0.25">
      <c r="A223" s="817"/>
      <c r="B223" s="528" t="s">
        <v>2101</v>
      </c>
      <c r="C223" s="529"/>
      <c r="D223" s="529"/>
      <c r="E223" s="820"/>
      <c r="F223" s="530" t="s">
        <v>2101</v>
      </c>
      <c r="G223" s="817"/>
      <c r="H223" s="528" t="s">
        <v>2101</v>
      </c>
      <c r="I223" s="529"/>
      <c r="J223" s="529"/>
      <c r="K223" s="820"/>
      <c r="L223" s="530" t="s">
        <v>2101</v>
      </c>
    </row>
    <row r="224" spans="1:12" ht="16" thickBot="1" x14ac:dyDescent="0.25">
      <c r="A224" s="817"/>
      <c r="B224" s="528" t="s">
        <v>2102</v>
      </c>
      <c r="C224" s="529"/>
      <c r="D224" s="529"/>
      <c r="E224" s="820"/>
      <c r="F224" s="530" t="s">
        <v>2102</v>
      </c>
      <c r="G224" s="817"/>
      <c r="H224" s="528" t="s">
        <v>2102</v>
      </c>
      <c r="I224" s="529"/>
      <c r="J224" s="529"/>
      <c r="K224" s="820"/>
      <c r="L224" s="530" t="s">
        <v>2102</v>
      </c>
    </row>
    <row r="225" spans="1:12" ht="16" thickBot="1" x14ac:dyDescent="0.25">
      <c r="A225" s="817"/>
      <c r="B225" s="528" t="s">
        <v>2103</v>
      </c>
      <c r="C225" s="529"/>
      <c r="D225" s="529"/>
      <c r="E225" s="820"/>
      <c r="F225" s="530" t="s">
        <v>2103</v>
      </c>
      <c r="G225" s="817"/>
      <c r="H225" s="528" t="s">
        <v>2103</v>
      </c>
      <c r="I225" s="529"/>
      <c r="J225" s="529"/>
      <c r="K225" s="820"/>
      <c r="L225" s="530" t="s">
        <v>2103</v>
      </c>
    </row>
    <row r="226" spans="1:12" ht="16" thickBot="1" x14ac:dyDescent="0.25">
      <c r="A226" s="817"/>
      <c r="B226" s="528" t="s">
        <v>2104</v>
      </c>
      <c r="C226" s="529"/>
      <c r="D226" s="529"/>
      <c r="E226" s="820"/>
      <c r="F226" s="530" t="s">
        <v>2105</v>
      </c>
      <c r="G226" s="817"/>
      <c r="H226" s="528" t="s">
        <v>2104</v>
      </c>
      <c r="I226" s="529"/>
      <c r="J226" s="529"/>
      <c r="K226" s="820"/>
      <c r="L226" s="530" t="s">
        <v>2105</v>
      </c>
    </row>
    <row r="227" spans="1:12" ht="16" thickBot="1" x14ac:dyDescent="0.25">
      <c r="A227" s="818"/>
      <c r="B227" s="531" t="s">
        <v>1993</v>
      </c>
      <c r="C227" s="532"/>
      <c r="D227" s="533"/>
      <c r="E227" s="821"/>
      <c r="F227" s="534" t="s">
        <v>2000</v>
      </c>
      <c r="G227" s="818"/>
      <c r="H227" s="531" t="s">
        <v>1993</v>
      </c>
      <c r="I227" s="532"/>
      <c r="J227" s="533">
        <v>0</v>
      </c>
      <c r="K227" s="821"/>
      <c r="L227" s="534" t="s">
        <v>2000</v>
      </c>
    </row>
    <row r="228" spans="1:12" ht="16" thickBot="1" x14ac:dyDescent="0.25">
      <c r="A228" s="816" t="s">
        <v>2122</v>
      </c>
      <c r="B228" s="528" t="s">
        <v>2093</v>
      </c>
      <c r="C228" s="529"/>
      <c r="D228" s="529"/>
      <c r="E228" s="819" t="s">
        <v>2122</v>
      </c>
      <c r="F228" s="530" t="s">
        <v>2093</v>
      </c>
      <c r="G228" s="816" t="s">
        <v>2122</v>
      </c>
      <c r="H228" s="528" t="s">
        <v>2093</v>
      </c>
      <c r="I228" s="529"/>
      <c r="J228" s="529"/>
      <c r="K228" s="819" t="s">
        <v>2122</v>
      </c>
      <c r="L228" s="530" t="s">
        <v>2093</v>
      </c>
    </row>
    <row r="229" spans="1:12" ht="16" thickBot="1" x14ac:dyDescent="0.25">
      <c r="A229" s="817"/>
      <c r="B229" s="528" t="s">
        <v>2094</v>
      </c>
      <c r="C229" s="529"/>
      <c r="D229" s="529"/>
      <c r="E229" s="820"/>
      <c r="F229" s="530" t="s">
        <v>2094</v>
      </c>
      <c r="G229" s="817"/>
      <c r="H229" s="528" t="s">
        <v>2094</v>
      </c>
      <c r="I229" s="529"/>
      <c r="J229" s="529"/>
      <c r="K229" s="820"/>
      <c r="L229" s="530" t="s">
        <v>2094</v>
      </c>
    </row>
    <row r="230" spans="1:12" ht="16" thickBot="1" x14ac:dyDescent="0.25">
      <c r="A230" s="817"/>
      <c r="B230" s="528" t="s">
        <v>2095</v>
      </c>
      <c r="C230" s="529"/>
      <c r="D230" s="529"/>
      <c r="E230" s="820"/>
      <c r="F230" s="530" t="s">
        <v>2095</v>
      </c>
      <c r="G230" s="817"/>
      <c r="H230" s="528" t="s">
        <v>2095</v>
      </c>
      <c r="I230" s="529"/>
      <c r="J230" s="529"/>
      <c r="K230" s="820"/>
      <c r="L230" s="530" t="s">
        <v>2095</v>
      </c>
    </row>
    <row r="231" spans="1:12" ht="16" thickBot="1" x14ac:dyDescent="0.25">
      <c r="A231" s="817"/>
      <c r="B231" s="528" t="s">
        <v>2096</v>
      </c>
      <c r="C231" s="529"/>
      <c r="D231" s="529"/>
      <c r="E231" s="820"/>
      <c r="F231" s="530" t="s">
        <v>2096</v>
      </c>
      <c r="G231" s="817"/>
      <c r="H231" s="528" t="s">
        <v>2096</v>
      </c>
      <c r="I231" s="529"/>
      <c r="J231" s="529"/>
      <c r="K231" s="820"/>
      <c r="L231" s="530" t="s">
        <v>2096</v>
      </c>
    </row>
    <row r="232" spans="1:12" ht="16" thickBot="1" x14ac:dyDescent="0.25">
      <c r="A232" s="817"/>
      <c r="B232" s="528" t="s">
        <v>2097</v>
      </c>
      <c r="C232" s="529"/>
      <c r="D232" s="529"/>
      <c r="E232" s="820"/>
      <c r="F232" s="530" t="s">
        <v>2097</v>
      </c>
      <c r="G232" s="817"/>
      <c r="H232" s="528" t="s">
        <v>2097</v>
      </c>
      <c r="I232" s="529"/>
      <c r="J232" s="529"/>
      <c r="K232" s="820"/>
      <c r="L232" s="530" t="s">
        <v>2097</v>
      </c>
    </row>
    <row r="233" spans="1:12" ht="16" thickBot="1" x14ac:dyDescent="0.25">
      <c r="A233" s="817"/>
      <c r="B233" s="528" t="s">
        <v>2098</v>
      </c>
      <c r="C233" s="529"/>
      <c r="D233" s="529"/>
      <c r="E233" s="820"/>
      <c r="F233" s="530" t="s">
        <v>2098</v>
      </c>
      <c r="G233" s="817"/>
      <c r="H233" s="528" t="s">
        <v>2098</v>
      </c>
      <c r="I233" s="529"/>
      <c r="J233" s="529"/>
      <c r="K233" s="820"/>
      <c r="L233" s="530" t="s">
        <v>2098</v>
      </c>
    </row>
    <row r="234" spans="1:12" ht="16" thickBot="1" x14ac:dyDescent="0.25">
      <c r="A234" s="817"/>
      <c r="B234" s="528" t="s">
        <v>2099</v>
      </c>
      <c r="C234" s="529"/>
      <c r="D234" s="529"/>
      <c r="E234" s="820"/>
      <c r="F234" s="530" t="s">
        <v>2099</v>
      </c>
      <c r="G234" s="817"/>
      <c r="H234" s="528" t="s">
        <v>2099</v>
      </c>
      <c r="I234" s="529"/>
      <c r="J234" s="529"/>
      <c r="K234" s="820"/>
      <c r="L234" s="530" t="s">
        <v>2099</v>
      </c>
    </row>
    <row r="235" spans="1:12" ht="16" thickBot="1" x14ac:dyDescent="0.25">
      <c r="A235" s="817"/>
      <c r="B235" s="528" t="s">
        <v>2100</v>
      </c>
      <c r="C235" s="529"/>
      <c r="D235" s="529"/>
      <c r="E235" s="820"/>
      <c r="F235" s="530" t="s">
        <v>2100</v>
      </c>
      <c r="G235" s="817"/>
      <c r="H235" s="528" t="s">
        <v>2100</v>
      </c>
      <c r="I235" s="529"/>
      <c r="J235" s="529"/>
      <c r="K235" s="820"/>
      <c r="L235" s="530" t="s">
        <v>2100</v>
      </c>
    </row>
    <row r="236" spans="1:12" ht="16" thickBot="1" x14ac:dyDescent="0.25">
      <c r="A236" s="817"/>
      <c r="B236" s="528" t="s">
        <v>2101</v>
      </c>
      <c r="C236" s="529"/>
      <c r="D236" s="529"/>
      <c r="E236" s="820"/>
      <c r="F236" s="530" t="s">
        <v>2101</v>
      </c>
      <c r="G236" s="817"/>
      <c r="H236" s="528" t="s">
        <v>2101</v>
      </c>
      <c r="I236" s="529"/>
      <c r="J236" s="529"/>
      <c r="K236" s="820"/>
      <c r="L236" s="530" t="s">
        <v>2101</v>
      </c>
    </row>
    <row r="237" spans="1:12" ht="16" thickBot="1" x14ac:dyDescent="0.25">
      <c r="A237" s="817"/>
      <c r="B237" s="528" t="s">
        <v>2102</v>
      </c>
      <c r="C237" s="529"/>
      <c r="D237" s="529"/>
      <c r="E237" s="820"/>
      <c r="F237" s="530" t="s">
        <v>2102</v>
      </c>
      <c r="G237" s="817"/>
      <c r="H237" s="528" t="s">
        <v>2102</v>
      </c>
      <c r="I237" s="529"/>
      <c r="J237" s="529"/>
      <c r="K237" s="820"/>
      <c r="L237" s="530" t="s">
        <v>2102</v>
      </c>
    </row>
    <row r="238" spans="1:12" ht="16" thickBot="1" x14ac:dyDescent="0.25">
      <c r="A238" s="817"/>
      <c r="B238" s="528" t="s">
        <v>2103</v>
      </c>
      <c r="C238" s="529"/>
      <c r="D238" s="529"/>
      <c r="E238" s="820"/>
      <c r="F238" s="530" t="s">
        <v>2103</v>
      </c>
      <c r="G238" s="817"/>
      <c r="H238" s="528" t="s">
        <v>2103</v>
      </c>
      <c r="I238" s="529"/>
      <c r="J238" s="529"/>
      <c r="K238" s="820"/>
      <c r="L238" s="530" t="s">
        <v>2103</v>
      </c>
    </row>
    <row r="239" spans="1:12" ht="16" thickBot="1" x14ac:dyDescent="0.25">
      <c r="A239" s="817"/>
      <c r="B239" s="528" t="s">
        <v>2104</v>
      </c>
      <c r="C239" s="529"/>
      <c r="D239" s="529"/>
      <c r="E239" s="820"/>
      <c r="F239" s="530" t="s">
        <v>2105</v>
      </c>
      <c r="G239" s="817"/>
      <c r="H239" s="528" t="s">
        <v>2104</v>
      </c>
      <c r="I239" s="529"/>
      <c r="J239" s="529"/>
      <c r="K239" s="820"/>
      <c r="L239" s="530" t="s">
        <v>2105</v>
      </c>
    </row>
    <row r="240" spans="1:12" ht="16" thickBot="1" x14ac:dyDescent="0.25">
      <c r="A240" s="818"/>
      <c r="B240" s="531" t="s">
        <v>1993</v>
      </c>
      <c r="C240" s="532"/>
      <c r="D240" s="533"/>
      <c r="E240" s="821"/>
      <c r="F240" s="534" t="s">
        <v>2000</v>
      </c>
      <c r="G240" s="818"/>
      <c r="H240" s="531" t="s">
        <v>1993</v>
      </c>
      <c r="I240" s="532"/>
      <c r="J240" s="533">
        <v>0</v>
      </c>
      <c r="K240" s="821"/>
      <c r="L240" s="534" t="s">
        <v>2000</v>
      </c>
    </row>
    <row r="241" spans="1:12" ht="16" thickBot="1" x14ac:dyDescent="0.25">
      <c r="A241" s="816" t="s">
        <v>2123</v>
      </c>
      <c r="B241" s="528" t="s">
        <v>2093</v>
      </c>
      <c r="C241" s="529"/>
      <c r="D241" s="529"/>
      <c r="E241" s="819" t="s">
        <v>2123</v>
      </c>
      <c r="F241" s="530" t="s">
        <v>2093</v>
      </c>
      <c r="G241" s="816" t="s">
        <v>2123</v>
      </c>
      <c r="H241" s="528" t="s">
        <v>2093</v>
      </c>
      <c r="I241" s="529"/>
      <c r="J241" s="529"/>
      <c r="K241" s="819" t="s">
        <v>2123</v>
      </c>
      <c r="L241" s="530" t="s">
        <v>2093</v>
      </c>
    </row>
    <row r="242" spans="1:12" ht="16" thickBot="1" x14ac:dyDescent="0.25">
      <c r="A242" s="817"/>
      <c r="B242" s="528" t="s">
        <v>2094</v>
      </c>
      <c r="C242" s="529"/>
      <c r="D242" s="529"/>
      <c r="E242" s="820"/>
      <c r="F242" s="530" t="s">
        <v>2094</v>
      </c>
      <c r="G242" s="817"/>
      <c r="H242" s="528" t="s">
        <v>2094</v>
      </c>
      <c r="I242" s="529"/>
      <c r="J242" s="529"/>
      <c r="K242" s="820"/>
      <c r="L242" s="530" t="s">
        <v>2094</v>
      </c>
    </row>
    <row r="243" spans="1:12" ht="16" thickBot="1" x14ac:dyDescent="0.25">
      <c r="A243" s="817"/>
      <c r="B243" s="528" t="s">
        <v>2095</v>
      </c>
      <c r="C243" s="529"/>
      <c r="D243" s="529"/>
      <c r="E243" s="820"/>
      <c r="F243" s="530" t="s">
        <v>2095</v>
      </c>
      <c r="G243" s="817"/>
      <c r="H243" s="528" t="s">
        <v>2095</v>
      </c>
      <c r="I243" s="529"/>
      <c r="J243" s="529"/>
      <c r="K243" s="820"/>
      <c r="L243" s="530" t="s">
        <v>2095</v>
      </c>
    </row>
    <row r="244" spans="1:12" ht="16" thickBot="1" x14ac:dyDescent="0.25">
      <c r="A244" s="817"/>
      <c r="B244" s="528" t="s">
        <v>2096</v>
      </c>
      <c r="C244" s="529"/>
      <c r="D244" s="529"/>
      <c r="E244" s="820"/>
      <c r="F244" s="530" t="s">
        <v>2096</v>
      </c>
      <c r="G244" s="817"/>
      <c r="H244" s="528" t="s">
        <v>2096</v>
      </c>
      <c r="I244" s="529"/>
      <c r="J244" s="529"/>
      <c r="K244" s="820"/>
      <c r="L244" s="530" t="s">
        <v>2096</v>
      </c>
    </row>
    <row r="245" spans="1:12" ht="16" thickBot="1" x14ac:dyDescent="0.25">
      <c r="A245" s="817"/>
      <c r="B245" s="528" t="s">
        <v>2097</v>
      </c>
      <c r="C245" s="529"/>
      <c r="D245" s="529"/>
      <c r="E245" s="820"/>
      <c r="F245" s="530" t="s">
        <v>2097</v>
      </c>
      <c r="G245" s="817"/>
      <c r="H245" s="528" t="s">
        <v>2097</v>
      </c>
      <c r="I245" s="529"/>
      <c r="J245" s="529"/>
      <c r="K245" s="820"/>
      <c r="L245" s="530" t="s">
        <v>2097</v>
      </c>
    </row>
    <row r="246" spans="1:12" ht="16" thickBot="1" x14ac:dyDescent="0.25">
      <c r="A246" s="817"/>
      <c r="B246" s="528" t="s">
        <v>2098</v>
      </c>
      <c r="C246" s="529"/>
      <c r="D246" s="529"/>
      <c r="E246" s="820"/>
      <c r="F246" s="530" t="s">
        <v>2098</v>
      </c>
      <c r="G246" s="817"/>
      <c r="H246" s="528" t="s">
        <v>2098</v>
      </c>
      <c r="I246" s="529"/>
      <c r="J246" s="529"/>
      <c r="K246" s="820"/>
      <c r="L246" s="530" t="s">
        <v>2098</v>
      </c>
    </row>
    <row r="247" spans="1:12" ht="16" thickBot="1" x14ac:dyDescent="0.25">
      <c r="A247" s="817"/>
      <c r="B247" s="528" t="s">
        <v>2099</v>
      </c>
      <c r="C247" s="529"/>
      <c r="D247" s="529"/>
      <c r="E247" s="820"/>
      <c r="F247" s="530" t="s">
        <v>2099</v>
      </c>
      <c r="G247" s="817"/>
      <c r="H247" s="528" t="s">
        <v>2099</v>
      </c>
      <c r="I247" s="529"/>
      <c r="J247" s="529"/>
      <c r="K247" s="820"/>
      <c r="L247" s="530" t="s">
        <v>2099</v>
      </c>
    </row>
    <row r="248" spans="1:12" ht="16" thickBot="1" x14ac:dyDescent="0.25">
      <c r="A248" s="817"/>
      <c r="B248" s="528" t="s">
        <v>2100</v>
      </c>
      <c r="C248" s="529"/>
      <c r="D248" s="529"/>
      <c r="E248" s="820"/>
      <c r="F248" s="530" t="s">
        <v>2100</v>
      </c>
      <c r="G248" s="817"/>
      <c r="H248" s="528" t="s">
        <v>2100</v>
      </c>
      <c r="I248" s="529"/>
      <c r="J248" s="529"/>
      <c r="K248" s="820"/>
      <c r="L248" s="530" t="s">
        <v>2100</v>
      </c>
    </row>
    <row r="249" spans="1:12" ht="16" thickBot="1" x14ac:dyDescent="0.25">
      <c r="A249" s="817"/>
      <c r="B249" s="528" t="s">
        <v>2101</v>
      </c>
      <c r="C249" s="529"/>
      <c r="D249" s="529"/>
      <c r="E249" s="820"/>
      <c r="F249" s="530" t="s">
        <v>2101</v>
      </c>
      <c r="G249" s="817"/>
      <c r="H249" s="528" t="s">
        <v>2101</v>
      </c>
      <c r="I249" s="529"/>
      <c r="J249" s="529"/>
      <c r="K249" s="820"/>
      <c r="L249" s="530" t="s">
        <v>2101</v>
      </c>
    </row>
    <row r="250" spans="1:12" ht="16" thickBot="1" x14ac:dyDescent="0.25">
      <c r="A250" s="817"/>
      <c r="B250" s="528" t="s">
        <v>2102</v>
      </c>
      <c r="C250" s="529"/>
      <c r="D250" s="529"/>
      <c r="E250" s="820"/>
      <c r="F250" s="530" t="s">
        <v>2102</v>
      </c>
      <c r="G250" s="817"/>
      <c r="H250" s="528" t="s">
        <v>2102</v>
      </c>
      <c r="I250" s="529"/>
      <c r="J250" s="529"/>
      <c r="K250" s="820"/>
      <c r="L250" s="530" t="s">
        <v>2102</v>
      </c>
    </row>
    <row r="251" spans="1:12" ht="16" thickBot="1" x14ac:dyDescent="0.25">
      <c r="A251" s="817"/>
      <c r="B251" s="528" t="s">
        <v>2103</v>
      </c>
      <c r="C251" s="529"/>
      <c r="D251" s="529"/>
      <c r="E251" s="820"/>
      <c r="F251" s="530" t="s">
        <v>2103</v>
      </c>
      <c r="G251" s="817"/>
      <c r="H251" s="528" t="s">
        <v>2103</v>
      </c>
      <c r="I251" s="529"/>
      <c r="J251" s="529"/>
      <c r="K251" s="820"/>
      <c r="L251" s="530" t="s">
        <v>2103</v>
      </c>
    </row>
    <row r="252" spans="1:12" ht="16" thickBot="1" x14ac:dyDescent="0.25">
      <c r="A252" s="817"/>
      <c r="B252" s="528" t="s">
        <v>2104</v>
      </c>
      <c r="C252" s="529"/>
      <c r="D252" s="529"/>
      <c r="E252" s="820"/>
      <c r="F252" s="530" t="s">
        <v>2105</v>
      </c>
      <c r="G252" s="817"/>
      <c r="H252" s="528" t="s">
        <v>2104</v>
      </c>
      <c r="I252" s="529"/>
      <c r="J252" s="529"/>
      <c r="K252" s="820"/>
      <c r="L252" s="530" t="s">
        <v>2105</v>
      </c>
    </row>
    <row r="253" spans="1:12" ht="16" thickBot="1" x14ac:dyDescent="0.25">
      <c r="A253" s="818"/>
      <c r="B253" s="531" t="s">
        <v>1993</v>
      </c>
      <c r="C253" s="532"/>
      <c r="D253" s="533"/>
      <c r="E253" s="821"/>
      <c r="F253" s="534" t="s">
        <v>2000</v>
      </c>
      <c r="G253" s="818"/>
      <c r="H253" s="531" t="s">
        <v>1993</v>
      </c>
      <c r="I253" s="532"/>
      <c r="J253" s="533">
        <v>0</v>
      </c>
      <c r="K253" s="821"/>
      <c r="L253" s="534" t="s">
        <v>2000</v>
      </c>
    </row>
    <row r="254" spans="1:12" ht="16" thickBot="1" x14ac:dyDescent="0.25">
      <c r="A254" s="816" t="s">
        <v>2124</v>
      </c>
      <c r="B254" s="528" t="s">
        <v>2093</v>
      </c>
      <c r="C254" s="529"/>
      <c r="D254" s="529"/>
      <c r="E254" s="819" t="s">
        <v>2124</v>
      </c>
      <c r="F254" s="530" t="s">
        <v>2093</v>
      </c>
      <c r="G254" s="816" t="s">
        <v>2124</v>
      </c>
      <c r="H254" s="528" t="s">
        <v>2093</v>
      </c>
      <c r="I254" s="529"/>
      <c r="J254" s="529"/>
      <c r="K254" s="819" t="s">
        <v>2124</v>
      </c>
      <c r="L254" s="530" t="s">
        <v>2093</v>
      </c>
    </row>
    <row r="255" spans="1:12" ht="16" thickBot="1" x14ac:dyDescent="0.25">
      <c r="A255" s="817"/>
      <c r="B255" s="528" t="s">
        <v>2094</v>
      </c>
      <c r="C255" s="529"/>
      <c r="D255" s="529"/>
      <c r="E255" s="820"/>
      <c r="F255" s="530" t="s">
        <v>2094</v>
      </c>
      <c r="G255" s="817"/>
      <c r="H255" s="528" t="s">
        <v>2094</v>
      </c>
      <c r="I255" s="529"/>
      <c r="J255" s="529"/>
      <c r="K255" s="820"/>
      <c r="L255" s="530" t="s">
        <v>2094</v>
      </c>
    </row>
    <row r="256" spans="1:12" ht="16" thickBot="1" x14ac:dyDescent="0.25">
      <c r="A256" s="817"/>
      <c r="B256" s="528" t="s">
        <v>2095</v>
      </c>
      <c r="C256" s="529"/>
      <c r="D256" s="529"/>
      <c r="E256" s="820"/>
      <c r="F256" s="530" t="s">
        <v>2095</v>
      </c>
      <c r="G256" s="817"/>
      <c r="H256" s="528" t="s">
        <v>2095</v>
      </c>
      <c r="I256" s="529"/>
      <c r="J256" s="529"/>
      <c r="K256" s="820"/>
      <c r="L256" s="530" t="s">
        <v>2095</v>
      </c>
    </row>
    <row r="257" spans="1:12" ht="16" thickBot="1" x14ac:dyDescent="0.25">
      <c r="A257" s="817"/>
      <c r="B257" s="528" t="s">
        <v>2096</v>
      </c>
      <c r="C257" s="529"/>
      <c r="D257" s="529"/>
      <c r="E257" s="820"/>
      <c r="F257" s="530" t="s">
        <v>2096</v>
      </c>
      <c r="G257" s="817"/>
      <c r="H257" s="528" t="s">
        <v>2096</v>
      </c>
      <c r="I257" s="529"/>
      <c r="J257" s="529"/>
      <c r="K257" s="820"/>
      <c r="L257" s="530" t="s">
        <v>2096</v>
      </c>
    </row>
    <row r="258" spans="1:12" ht="16" thickBot="1" x14ac:dyDescent="0.25">
      <c r="A258" s="817"/>
      <c r="B258" s="528" t="s">
        <v>2097</v>
      </c>
      <c r="C258" s="529"/>
      <c r="D258" s="529"/>
      <c r="E258" s="820"/>
      <c r="F258" s="530" t="s">
        <v>2097</v>
      </c>
      <c r="G258" s="817"/>
      <c r="H258" s="528" t="s">
        <v>2097</v>
      </c>
      <c r="I258" s="529"/>
      <c r="J258" s="529"/>
      <c r="K258" s="820"/>
      <c r="L258" s="530" t="s">
        <v>2097</v>
      </c>
    </row>
    <row r="259" spans="1:12" ht="16" thickBot="1" x14ac:dyDescent="0.25">
      <c r="A259" s="817"/>
      <c r="B259" s="528" t="s">
        <v>2098</v>
      </c>
      <c r="C259" s="529"/>
      <c r="D259" s="529"/>
      <c r="E259" s="820"/>
      <c r="F259" s="530" t="s">
        <v>2098</v>
      </c>
      <c r="G259" s="817"/>
      <c r="H259" s="528" t="s">
        <v>2098</v>
      </c>
      <c r="I259" s="529"/>
      <c r="J259" s="529"/>
      <c r="K259" s="820"/>
      <c r="L259" s="530" t="s">
        <v>2098</v>
      </c>
    </row>
    <row r="260" spans="1:12" ht="16" thickBot="1" x14ac:dyDescent="0.25">
      <c r="A260" s="817"/>
      <c r="B260" s="528" t="s">
        <v>2099</v>
      </c>
      <c r="C260" s="529"/>
      <c r="D260" s="529"/>
      <c r="E260" s="820"/>
      <c r="F260" s="530" t="s">
        <v>2099</v>
      </c>
      <c r="G260" s="817"/>
      <c r="H260" s="528" t="s">
        <v>2099</v>
      </c>
      <c r="I260" s="529"/>
      <c r="J260" s="529"/>
      <c r="K260" s="820"/>
      <c r="L260" s="530" t="s">
        <v>2099</v>
      </c>
    </row>
    <row r="261" spans="1:12" ht="16" thickBot="1" x14ac:dyDescent="0.25">
      <c r="A261" s="817"/>
      <c r="B261" s="528" t="s">
        <v>2100</v>
      </c>
      <c r="C261" s="529"/>
      <c r="D261" s="529"/>
      <c r="E261" s="820"/>
      <c r="F261" s="530" t="s">
        <v>2100</v>
      </c>
      <c r="G261" s="817"/>
      <c r="H261" s="528" t="s">
        <v>2100</v>
      </c>
      <c r="I261" s="529"/>
      <c r="J261" s="529"/>
      <c r="K261" s="820"/>
      <c r="L261" s="530" t="s">
        <v>2100</v>
      </c>
    </row>
    <row r="262" spans="1:12" ht="16" thickBot="1" x14ac:dyDescent="0.25">
      <c r="A262" s="817"/>
      <c r="B262" s="528" t="s">
        <v>2101</v>
      </c>
      <c r="C262" s="529"/>
      <c r="D262" s="529"/>
      <c r="E262" s="820"/>
      <c r="F262" s="530" t="s">
        <v>2101</v>
      </c>
      <c r="G262" s="817"/>
      <c r="H262" s="528" t="s">
        <v>2101</v>
      </c>
      <c r="I262" s="529"/>
      <c r="J262" s="529"/>
      <c r="K262" s="820"/>
      <c r="L262" s="530" t="s">
        <v>2101</v>
      </c>
    </row>
    <row r="263" spans="1:12" ht="16" thickBot="1" x14ac:dyDescent="0.25">
      <c r="A263" s="817"/>
      <c r="B263" s="528" t="s">
        <v>2102</v>
      </c>
      <c r="C263" s="529"/>
      <c r="D263" s="529"/>
      <c r="E263" s="820"/>
      <c r="F263" s="530" t="s">
        <v>2102</v>
      </c>
      <c r="G263" s="817"/>
      <c r="H263" s="528" t="s">
        <v>2102</v>
      </c>
      <c r="I263" s="529"/>
      <c r="J263" s="529"/>
      <c r="K263" s="820"/>
      <c r="L263" s="530" t="s">
        <v>2102</v>
      </c>
    </row>
    <row r="264" spans="1:12" ht="16" thickBot="1" x14ac:dyDescent="0.25">
      <c r="A264" s="817"/>
      <c r="B264" s="528" t="s">
        <v>2103</v>
      </c>
      <c r="C264" s="529"/>
      <c r="D264" s="529"/>
      <c r="E264" s="820"/>
      <c r="F264" s="530" t="s">
        <v>2103</v>
      </c>
      <c r="G264" s="817"/>
      <c r="H264" s="528" t="s">
        <v>2103</v>
      </c>
      <c r="I264" s="529"/>
      <c r="J264" s="529"/>
      <c r="K264" s="820"/>
      <c r="L264" s="530" t="s">
        <v>2103</v>
      </c>
    </row>
    <row r="265" spans="1:12" ht="16" thickBot="1" x14ac:dyDescent="0.25">
      <c r="A265" s="817"/>
      <c r="B265" s="528" t="s">
        <v>2104</v>
      </c>
      <c r="C265" s="529"/>
      <c r="D265" s="529"/>
      <c r="E265" s="820"/>
      <c r="F265" s="530" t="s">
        <v>2105</v>
      </c>
      <c r="G265" s="817"/>
      <c r="H265" s="528" t="s">
        <v>2104</v>
      </c>
      <c r="I265" s="529"/>
      <c r="J265" s="529"/>
      <c r="K265" s="820"/>
      <c r="L265" s="530" t="s">
        <v>2105</v>
      </c>
    </row>
    <row r="266" spans="1:12" ht="16" thickBot="1" x14ac:dyDescent="0.25">
      <c r="A266" s="818"/>
      <c r="B266" s="531" t="s">
        <v>1993</v>
      </c>
      <c r="C266" s="532"/>
      <c r="D266" s="533"/>
      <c r="E266" s="821"/>
      <c r="F266" s="534" t="s">
        <v>2000</v>
      </c>
      <c r="G266" s="818"/>
      <c r="H266" s="531" t="s">
        <v>1993</v>
      </c>
      <c r="I266" s="532"/>
      <c r="J266" s="533">
        <v>0</v>
      </c>
      <c r="K266" s="821"/>
      <c r="L266" s="534" t="s">
        <v>2000</v>
      </c>
    </row>
    <row r="267" spans="1:12" ht="16" thickBot="1" x14ac:dyDescent="0.25">
      <c r="A267" s="816" t="s">
        <v>2125</v>
      </c>
      <c r="B267" s="528" t="s">
        <v>2093</v>
      </c>
      <c r="C267" s="529"/>
      <c r="D267" s="529"/>
      <c r="E267" s="819" t="s">
        <v>2126</v>
      </c>
      <c r="F267" s="530" t="s">
        <v>2093</v>
      </c>
      <c r="G267" s="816" t="s">
        <v>2125</v>
      </c>
      <c r="H267" s="528" t="s">
        <v>2093</v>
      </c>
      <c r="I267" s="529"/>
      <c r="J267" s="529"/>
      <c r="K267" s="819" t="s">
        <v>2126</v>
      </c>
      <c r="L267" s="530" t="s">
        <v>2093</v>
      </c>
    </row>
    <row r="268" spans="1:12" ht="16" thickBot="1" x14ac:dyDescent="0.25">
      <c r="A268" s="817"/>
      <c r="B268" s="528" t="s">
        <v>2094</v>
      </c>
      <c r="C268" s="529"/>
      <c r="D268" s="529"/>
      <c r="E268" s="820"/>
      <c r="F268" s="530" t="s">
        <v>2094</v>
      </c>
      <c r="G268" s="817"/>
      <c r="H268" s="528" t="s">
        <v>2094</v>
      </c>
      <c r="I268" s="529"/>
      <c r="J268" s="529"/>
      <c r="K268" s="820"/>
      <c r="L268" s="530" t="s">
        <v>2094</v>
      </c>
    </row>
    <row r="269" spans="1:12" ht="16" thickBot="1" x14ac:dyDescent="0.25">
      <c r="A269" s="817"/>
      <c r="B269" s="528" t="s">
        <v>2095</v>
      </c>
      <c r="C269" s="529"/>
      <c r="D269" s="529"/>
      <c r="E269" s="820"/>
      <c r="F269" s="530" t="s">
        <v>2095</v>
      </c>
      <c r="G269" s="817"/>
      <c r="H269" s="528" t="s">
        <v>2095</v>
      </c>
      <c r="I269" s="529"/>
      <c r="J269" s="529"/>
      <c r="K269" s="820"/>
      <c r="L269" s="530" t="s">
        <v>2095</v>
      </c>
    </row>
    <row r="270" spans="1:12" ht="16" thickBot="1" x14ac:dyDescent="0.25">
      <c r="A270" s="817"/>
      <c r="B270" s="528" t="s">
        <v>2096</v>
      </c>
      <c r="C270" s="529"/>
      <c r="D270" s="529"/>
      <c r="E270" s="820"/>
      <c r="F270" s="530" t="s">
        <v>2096</v>
      </c>
      <c r="G270" s="817"/>
      <c r="H270" s="528" t="s">
        <v>2096</v>
      </c>
      <c r="I270" s="529"/>
      <c r="J270" s="529"/>
      <c r="K270" s="820"/>
      <c r="L270" s="530" t="s">
        <v>2096</v>
      </c>
    </row>
    <row r="271" spans="1:12" ht="16" thickBot="1" x14ac:dyDescent="0.25">
      <c r="A271" s="817"/>
      <c r="B271" s="528" t="s">
        <v>2097</v>
      </c>
      <c r="C271" s="529"/>
      <c r="D271" s="529"/>
      <c r="E271" s="820"/>
      <c r="F271" s="530" t="s">
        <v>2097</v>
      </c>
      <c r="G271" s="817"/>
      <c r="H271" s="528" t="s">
        <v>2097</v>
      </c>
      <c r="I271" s="529"/>
      <c r="J271" s="529"/>
      <c r="K271" s="820"/>
      <c r="L271" s="530" t="s">
        <v>2097</v>
      </c>
    </row>
    <row r="272" spans="1:12" ht="16" thickBot="1" x14ac:dyDescent="0.25">
      <c r="A272" s="817"/>
      <c r="B272" s="528" t="s">
        <v>2098</v>
      </c>
      <c r="C272" s="529"/>
      <c r="D272" s="529"/>
      <c r="E272" s="820"/>
      <c r="F272" s="530" t="s">
        <v>2098</v>
      </c>
      <c r="G272" s="817"/>
      <c r="H272" s="528" t="s">
        <v>2098</v>
      </c>
      <c r="I272" s="529"/>
      <c r="J272" s="529"/>
      <c r="K272" s="820"/>
      <c r="L272" s="530" t="s">
        <v>2098</v>
      </c>
    </row>
    <row r="273" spans="1:12" ht="16" thickBot="1" x14ac:dyDescent="0.25">
      <c r="A273" s="817"/>
      <c r="B273" s="528" t="s">
        <v>2099</v>
      </c>
      <c r="C273" s="529"/>
      <c r="D273" s="529"/>
      <c r="E273" s="820"/>
      <c r="F273" s="530" t="s">
        <v>2099</v>
      </c>
      <c r="G273" s="817"/>
      <c r="H273" s="528" t="s">
        <v>2099</v>
      </c>
      <c r="I273" s="529"/>
      <c r="J273" s="529"/>
      <c r="K273" s="820"/>
      <c r="L273" s="530" t="s">
        <v>2099</v>
      </c>
    </row>
    <row r="274" spans="1:12" ht="16" thickBot="1" x14ac:dyDescent="0.25">
      <c r="A274" s="817"/>
      <c r="B274" s="528" t="s">
        <v>2100</v>
      </c>
      <c r="C274" s="529"/>
      <c r="D274" s="529"/>
      <c r="E274" s="820"/>
      <c r="F274" s="530" t="s">
        <v>2100</v>
      </c>
      <c r="G274" s="817"/>
      <c r="H274" s="528" t="s">
        <v>2100</v>
      </c>
      <c r="I274" s="529"/>
      <c r="J274" s="529"/>
      <c r="K274" s="820"/>
      <c r="L274" s="530" t="s">
        <v>2100</v>
      </c>
    </row>
    <row r="275" spans="1:12" ht="16" thickBot="1" x14ac:dyDescent="0.25">
      <c r="A275" s="817"/>
      <c r="B275" s="528" t="s">
        <v>2101</v>
      </c>
      <c r="C275" s="529"/>
      <c r="D275" s="529"/>
      <c r="E275" s="820"/>
      <c r="F275" s="530" t="s">
        <v>2101</v>
      </c>
      <c r="G275" s="817"/>
      <c r="H275" s="528" t="s">
        <v>2101</v>
      </c>
      <c r="I275" s="529"/>
      <c r="J275" s="529"/>
      <c r="K275" s="820"/>
      <c r="L275" s="530" t="s">
        <v>2101</v>
      </c>
    </row>
    <row r="276" spans="1:12" ht="16" thickBot="1" x14ac:dyDescent="0.25">
      <c r="A276" s="817"/>
      <c r="B276" s="528" t="s">
        <v>2102</v>
      </c>
      <c r="C276" s="529"/>
      <c r="D276" s="529"/>
      <c r="E276" s="820"/>
      <c r="F276" s="530" t="s">
        <v>2102</v>
      </c>
      <c r="G276" s="817"/>
      <c r="H276" s="528" t="s">
        <v>2102</v>
      </c>
      <c r="I276" s="529"/>
      <c r="J276" s="529"/>
      <c r="K276" s="820"/>
      <c r="L276" s="530" t="s">
        <v>2102</v>
      </c>
    </row>
    <row r="277" spans="1:12" ht="16" thickBot="1" x14ac:dyDescent="0.25">
      <c r="A277" s="817"/>
      <c r="B277" s="528" t="s">
        <v>2103</v>
      </c>
      <c r="C277" s="529"/>
      <c r="D277" s="529"/>
      <c r="E277" s="820"/>
      <c r="F277" s="530" t="s">
        <v>2103</v>
      </c>
      <c r="G277" s="817"/>
      <c r="H277" s="528" t="s">
        <v>2103</v>
      </c>
      <c r="I277" s="529"/>
      <c r="J277" s="529"/>
      <c r="K277" s="820"/>
      <c r="L277" s="530" t="s">
        <v>2103</v>
      </c>
    </row>
    <row r="278" spans="1:12" ht="16" thickBot="1" x14ac:dyDescent="0.25">
      <c r="A278" s="817"/>
      <c r="B278" s="528" t="s">
        <v>2104</v>
      </c>
      <c r="C278" s="529"/>
      <c r="D278" s="529"/>
      <c r="E278" s="820"/>
      <c r="F278" s="530" t="s">
        <v>2105</v>
      </c>
      <c r="G278" s="817"/>
      <c r="H278" s="528" t="s">
        <v>2104</v>
      </c>
      <c r="I278" s="529"/>
      <c r="J278" s="529"/>
      <c r="K278" s="820"/>
      <c r="L278" s="530" t="s">
        <v>2105</v>
      </c>
    </row>
    <row r="279" spans="1:12" ht="16" thickBot="1" x14ac:dyDescent="0.25">
      <c r="A279" s="818"/>
      <c r="B279" s="531" t="s">
        <v>1993</v>
      </c>
      <c r="C279" s="532"/>
      <c r="D279" s="533"/>
      <c r="E279" s="821"/>
      <c r="F279" s="534" t="s">
        <v>2000</v>
      </c>
      <c r="G279" s="818"/>
      <c r="H279" s="531" t="s">
        <v>1993</v>
      </c>
      <c r="I279" s="532"/>
      <c r="J279" s="533">
        <v>0</v>
      </c>
      <c r="K279" s="821"/>
      <c r="L279" s="534" t="s">
        <v>2000</v>
      </c>
    </row>
    <row r="280" spans="1:12" ht="16" thickBot="1" x14ac:dyDescent="0.25">
      <c r="A280" s="816" t="s">
        <v>2127</v>
      </c>
      <c r="B280" s="528" t="s">
        <v>2093</v>
      </c>
      <c r="C280" s="529"/>
      <c r="D280" s="529"/>
      <c r="E280" s="819" t="s">
        <v>2128</v>
      </c>
      <c r="F280" s="530" t="s">
        <v>2093</v>
      </c>
      <c r="G280" s="816" t="s">
        <v>2127</v>
      </c>
      <c r="H280" s="528" t="s">
        <v>2093</v>
      </c>
      <c r="I280" s="529"/>
      <c r="J280" s="529"/>
      <c r="K280" s="819" t="s">
        <v>2128</v>
      </c>
      <c r="L280" s="530" t="s">
        <v>2093</v>
      </c>
    </row>
    <row r="281" spans="1:12" ht="16" thickBot="1" x14ac:dyDescent="0.25">
      <c r="A281" s="817"/>
      <c r="B281" s="528" t="s">
        <v>2094</v>
      </c>
      <c r="C281" s="529"/>
      <c r="D281" s="529"/>
      <c r="E281" s="820"/>
      <c r="F281" s="530" t="s">
        <v>2094</v>
      </c>
      <c r="G281" s="817"/>
      <c r="H281" s="528" t="s">
        <v>2094</v>
      </c>
      <c r="I281" s="529"/>
      <c r="J281" s="529"/>
      <c r="K281" s="820"/>
      <c r="L281" s="530" t="s">
        <v>2094</v>
      </c>
    </row>
    <row r="282" spans="1:12" ht="16" thickBot="1" x14ac:dyDescent="0.25">
      <c r="A282" s="817"/>
      <c r="B282" s="528" t="s">
        <v>2095</v>
      </c>
      <c r="C282" s="529"/>
      <c r="D282" s="529"/>
      <c r="E282" s="820"/>
      <c r="F282" s="530" t="s">
        <v>2095</v>
      </c>
      <c r="G282" s="817"/>
      <c r="H282" s="528" t="s">
        <v>2095</v>
      </c>
      <c r="I282" s="529"/>
      <c r="J282" s="529"/>
      <c r="K282" s="820"/>
      <c r="L282" s="530" t="s">
        <v>2095</v>
      </c>
    </row>
    <row r="283" spans="1:12" ht="16" thickBot="1" x14ac:dyDescent="0.25">
      <c r="A283" s="817"/>
      <c r="B283" s="528" t="s">
        <v>2096</v>
      </c>
      <c r="C283" s="529"/>
      <c r="D283" s="529"/>
      <c r="E283" s="820"/>
      <c r="F283" s="530" t="s">
        <v>2096</v>
      </c>
      <c r="G283" s="817"/>
      <c r="H283" s="528" t="s">
        <v>2096</v>
      </c>
      <c r="I283" s="529"/>
      <c r="J283" s="529"/>
      <c r="K283" s="820"/>
      <c r="L283" s="530" t="s">
        <v>2096</v>
      </c>
    </row>
    <row r="284" spans="1:12" ht="16" thickBot="1" x14ac:dyDescent="0.25">
      <c r="A284" s="817"/>
      <c r="B284" s="528" t="s">
        <v>2097</v>
      </c>
      <c r="C284" s="529"/>
      <c r="D284" s="529"/>
      <c r="E284" s="820"/>
      <c r="F284" s="530" t="s">
        <v>2097</v>
      </c>
      <c r="G284" s="817"/>
      <c r="H284" s="528" t="s">
        <v>2097</v>
      </c>
      <c r="I284" s="529"/>
      <c r="J284" s="529"/>
      <c r="K284" s="820"/>
      <c r="L284" s="530" t="s">
        <v>2097</v>
      </c>
    </row>
    <row r="285" spans="1:12" ht="16" thickBot="1" x14ac:dyDescent="0.25">
      <c r="A285" s="817"/>
      <c r="B285" s="528" t="s">
        <v>2098</v>
      </c>
      <c r="C285" s="529"/>
      <c r="D285" s="529"/>
      <c r="E285" s="820"/>
      <c r="F285" s="530" t="s">
        <v>2098</v>
      </c>
      <c r="G285" s="817"/>
      <c r="H285" s="528" t="s">
        <v>2098</v>
      </c>
      <c r="I285" s="529"/>
      <c r="J285" s="529"/>
      <c r="K285" s="820"/>
      <c r="L285" s="530" t="s">
        <v>2098</v>
      </c>
    </row>
    <row r="286" spans="1:12" ht="16" thickBot="1" x14ac:dyDescent="0.25">
      <c r="A286" s="817"/>
      <c r="B286" s="528" t="s">
        <v>2099</v>
      </c>
      <c r="C286" s="529"/>
      <c r="D286" s="529"/>
      <c r="E286" s="820"/>
      <c r="F286" s="530" t="s">
        <v>2099</v>
      </c>
      <c r="G286" s="817"/>
      <c r="H286" s="528" t="s">
        <v>2099</v>
      </c>
      <c r="I286" s="529"/>
      <c r="J286" s="529"/>
      <c r="K286" s="820"/>
      <c r="L286" s="530" t="s">
        <v>2099</v>
      </c>
    </row>
    <row r="287" spans="1:12" ht="16" thickBot="1" x14ac:dyDescent="0.25">
      <c r="A287" s="817"/>
      <c r="B287" s="528" t="s">
        <v>2100</v>
      </c>
      <c r="C287" s="529"/>
      <c r="D287" s="529"/>
      <c r="E287" s="820"/>
      <c r="F287" s="530" t="s">
        <v>2100</v>
      </c>
      <c r="G287" s="817"/>
      <c r="H287" s="528" t="s">
        <v>2100</v>
      </c>
      <c r="I287" s="529"/>
      <c r="J287" s="529"/>
      <c r="K287" s="820"/>
      <c r="L287" s="530" t="s">
        <v>2100</v>
      </c>
    </row>
    <row r="288" spans="1:12" ht="16" thickBot="1" x14ac:dyDescent="0.25">
      <c r="A288" s="817"/>
      <c r="B288" s="528" t="s">
        <v>2101</v>
      </c>
      <c r="C288" s="529"/>
      <c r="D288" s="529"/>
      <c r="E288" s="820"/>
      <c r="F288" s="530" t="s">
        <v>2101</v>
      </c>
      <c r="G288" s="817"/>
      <c r="H288" s="528" t="s">
        <v>2101</v>
      </c>
      <c r="I288" s="529"/>
      <c r="J288" s="529"/>
      <c r="K288" s="820"/>
      <c r="L288" s="530" t="s">
        <v>2101</v>
      </c>
    </row>
    <row r="289" spans="1:12" ht="16" thickBot="1" x14ac:dyDescent="0.25">
      <c r="A289" s="817"/>
      <c r="B289" s="528" t="s">
        <v>2102</v>
      </c>
      <c r="C289" s="529"/>
      <c r="D289" s="529"/>
      <c r="E289" s="820"/>
      <c r="F289" s="530" t="s">
        <v>2102</v>
      </c>
      <c r="G289" s="817"/>
      <c r="H289" s="528" t="s">
        <v>2102</v>
      </c>
      <c r="I289" s="529"/>
      <c r="J289" s="529"/>
      <c r="K289" s="820"/>
      <c r="L289" s="530" t="s">
        <v>2102</v>
      </c>
    </row>
    <row r="290" spans="1:12" ht="16" thickBot="1" x14ac:dyDescent="0.25">
      <c r="A290" s="817"/>
      <c r="B290" s="528" t="s">
        <v>2103</v>
      </c>
      <c r="C290" s="529">
        <v>0</v>
      </c>
      <c r="D290" s="529">
        <v>1525</v>
      </c>
      <c r="E290" s="820"/>
      <c r="F290" s="530" t="s">
        <v>2103</v>
      </c>
      <c r="G290" s="817"/>
      <c r="H290" s="528" t="s">
        <v>2103</v>
      </c>
      <c r="I290" s="529">
        <v>18</v>
      </c>
      <c r="J290" s="529">
        <v>295604</v>
      </c>
      <c r="K290" s="820"/>
      <c r="L290" s="530" t="s">
        <v>2103</v>
      </c>
    </row>
    <row r="291" spans="1:12" ht="16" thickBot="1" x14ac:dyDescent="0.25">
      <c r="A291" s="817"/>
      <c r="B291" s="528" t="s">
        <v>2104</v>
      </c>
      <c r="C291" s="529"/>
      <c r="D291" s="529"/>
      <c r="E291" s="820"/>
      <c r="F291" s="530" t="s">
        <v>2105</v>
      </c>
      <c r="G291" s="817"/>
      <c r="H291" s="528" t="s">
        <v>2104</v>
      </c>
      <c r="I291" s="529"/>
      <c r="J291" s="529"/>
      <c r="K291" s="820"/>
      <c r="L291" s="530" t="s">
        <v>2105</v>
      </c>
    </row>
    <row r="292" spans="1:12" ht="16" thickBot="1" x14ac:dyDescent="0.25">
      <c r="A292" s="818"/>
      <c r="B292" s="531" t="s">
        <v>1993</v>
      </c>
      <c r="C292" s="532"/>
      <c r="D292" s="533">
        <v>1525</v>
      </c>
      <c r="E292" s="821"/>
      <c r="F292" s="534" t="s">
        <v>2000</v>
      </c>
      <c r="G292" s="818"/>
      <c r="H292" s="531" t="s">
        <v>1993</v>
      </c>
      <c r="I292" s="532"/>
      <c r="J292" s="533">
        <v>295604</v>
      </c>
      <c r="K292" s="821"/>
      <c r="L292" s="534" t="s">
        <v>2000</v>
      </c>
    </row>
    <row r="293" spans="1:12" ht="16" thickBot="1" x14ac:dyDescent="0.25">
      <c r="A293" s="816" t="s">
        <v>2129</v>
      </c>
      <c r="B293" s="528" t="s">
        <v>2093</v>
      </c>
      <c r="C293" s="529">
        <v>2045911</v>
      </c>
      <c r="D293" s="529">
        <v>2045911</v>
      </c>
      <c r="E293" s="819" t="s">
        <v>2130</v>
      </c>
      <c r="F293" s="530" t="s">
        <v>2093</v>
      </c>
      <c r="G293" s="816" t="s">
        <v>2129</v>
      </c>
      <c r="H293" s="528" t="s">
        <v>2093</v>
      </c>
      <c r="I293" s="529">
        <v>1246912</v>
      </c>
      <c r="J293" s="529">
        <v>1246912</v>
      </c>
      <c r="K293" s="819" t="s">
        <v>2130</v>
      </c>
      <c r="L293" s="530" t="s">
        <v>2093</v>
      </c>
    </row>
    <row r="294" spans="1:12" ht="16" thickBot="1" x14ac:dyDescent="0.25">
      <c r="A294" s="817"/>
      <c r="B294" s="528" t="s">
        <v>2094</v>
      </c>
      <c r="C294" s="529"/>
      <c r="D294" s="529"/>
      <c r="E294" s="820"/>
      <c r="F294" s="530" t="s">
        <v>2094</v>
      </c>
      <c r="G294" s="817"/>
      <c r="H294" s="528" t="s">
        <v>2094</v>
      </c>
      <c r="I294" s="529"/>
      <c r="J294" s="529"/>
      <c r="K294" s="820"/>
      <c r="L294" s="530" t="s">
        <v>2094</v>
      </c>
    </row>
    <row r="295" spans="1:12" ht="16" thickBot="1" x14ac:dyDescent="0.25">
      <c r="A295" s="817"/>
      <c r="B295" s="528" t="s">
        <v>2095</v>
      </c>
      <c r="C295" s="529"/>
      <c r="D295" s="529"/>
      <c r="E295" s="820"/>
      <c r="F295" s="530" t="s">
        <v>2095</v>
      </c>
      <c r="G295" s="817"/>
      <c r="H295" s="528" t="s">
        <v>2095</v>
      </c>
      <c r="I295" s="529"/>
      <c r="J295" s="529"/>
      <c r="K295" s="820"/>
      <c r="L295" s="530" t="s">
        <v>2095</v>
      </c>
    </row>
    <row r="296" spans="1:12" ht="16" thickBot="1" x14ac:dyDescent="0.25">
      <c r="A296" s="817"/>
      <c r="B296" s="528" t="s">
        <v>2096</v>
      </c>
      <c r="C296" s="529"/>
      <c r="D296" s="529"/>
      <c r="E296" s="820"/>
      <c r="F296" s="530" t="s">
        <v>2096</v>
      </c>
      <c r="G296" s="817"/>
      <c r="H296" s="528" t="s">
        <v>2096</v>
      </c>
      <c r="I296" s="529"/>
      <c r="J296" s="529"/>
      <c r="K296" s="820"/>
      <c r="L296" s="530" t="s">
        <v>2096</v>
      </c>
    </row>
    <row r="297" spans="1:12" ht="16" thickBot="1" x14ac:dyDescent="0.25">
      <c r="A297" s="817"/>
      <c r="B297" s="528" t="s">
        <v>2097</v>
      </c>
      <c r="C297" s="529"/>
      <c r="D297" s="529"/>
      <c r="E297" s="820"/>
      <c r="F297" s="530" t="s">
        <v>2097</v>
      </c>
      <c r="G297" s="817"/>
      <c r="H297" s="528" t="s">
        <v>2097</v>
      </c>
      <c r="I297" s="529"/>
      <c r="J297" s="529"/>
      <c r="K297" s="820"/>
      <c r="L297" s="530" t="s">
        <v>2097</v>
      </c>
    </row>
    <row r="298" spans="1:12" ht="16" thickBot="1" x14ac:dyDescent="0.25">
      <c r="A298" s="817"/>
      <c r="B298" s="528" t="s">
        <v>2098</v>
      </c>
      <c r="C298" s="529"/>
      <c r="D298" s="529"/>
      <c r="E298" s="820"/>
      <c r="F298" s="530" t="s">
        <v>2098</v>
      </c>
      <c r="G298" s="817"/>
      <c r="H298" s="528" t="s">
        <v>2098</v>
      </c>
      <c r="I298" s="529"/>
      <c r="J298" s="529"/>
      <c r="K298" s="820"/>
      <c r="L298" s="530" t="s">
        <v>2098</v>
      </c>
    </row>
    <row r="299" spans="1:12" ht="16" thickBot="1" x14ac:dyDescent="0.25">
      <c r="A299" s="817"/>
      <c r="B299" s="528" t="s">
        <v>2099</v>
      </c>
      <c r="C299" s="529"/>
      <c r="D299" s="529"/>
      <c r="E299" s="820"/>
      <c r="F299" s="530" t="s">
        <v>2099</v>
      </c>
      <c r="G299" s="817"/>
      <c r="H299" s="528" t="s">
        <v>2099</v>
      </c>
      <c r="I299" s="529"/>
      <c r="J299" s="529"/>
      <c r="K299" s="820"/>
      <c r="L299" s="530" t="s">
        <v>2099</v>
      </c>
    </row>
    <row r="300" spans="1:12" ht="16" thickBot="1" x14ac:dyDescent="0.25">
      <c r="A300" s="817"/>
      <c r="B300" s="528" t="s">
        <v>2100</v>
      </c>
      <c r="C300" s="529"/>
      <c r="D300" s="529"/>
      <c r="E300" s="820"/>
      <c r="F300" s="530" t="s">
        <v>2100</v>
      </c>
      <c r="G300" s="817"/>
      <c r="H300" s="528" t="s">
        <v>2100</v>
      </c>
      <c r="I300" s="529"/>
      <c r="J300" s="529"/>
      <c r="K300" s="820"/>
      <c r="L300" s="530" t="s">
        <v>2100</v>
      </c>
    </row>
    <row r="301" spans="1:12" ht="16" thickBot="1" x14ac:dyDescent="0.25">
      <c r="A301" s="817"/>
      <c r="B301" s="528" t="s">
        <v>2101</v>
      </c>
      <c r="C301" s="529"/>
      <c r="D301" s="529"/>
      <c r="E301" s="820"/>
      <c r="F301" s="530" t="s">
        <v>2101</v>
      </c>
      <c r="G301" s="817"/>
      <c r="H301" s="528" t="s">
        <v>2101</v>
      </c>
      <c r="I301" s="529"/>
      <c r="J301" s="529"/>
      <c r="K301" s="820"/>
      <c r="L301" s="530" t="s">
        <v>2101</v>
      </c>
    </row>
    <row r="302" spans="1:12" ht="16" thickBot="1" x14ac:dyDescent="0.25">
      <c r="A302" s="817"/>
      <c r="B302" s="528" t="s">
        <v>2102</v>
      </c>
      <c r="C302" s="529"/>
      <c r="D302" s="529"/>
      <c r="E302" s="820"/>
      <c r="F302" s="530" t="s">
        <v>2102</v>
      </c>
      <c r="G302" s="817"/>
      <c r="H302" s="528" t="s">
        <v>2102</v>
      </c>
      <c r="I302" s="529"/>
      <c r="J302" s="529"/>
      <c r="K302" s="820"/>
      <c r="L302" s="530" t="s">
        <v>2102</v>
      </c>
    </row>
    <row r="303" spans="1:12" ht="16" thickBot="1" x14ac:dyDescent="0.25">
      <c r="A303" s="817"/>
      <c r="B303" s="528" t="s">
        <v>2103</v>
      </c>
      <c r="C303" s="529"/>
      <c r="D303" s="529"/>
      <c r="E303" s="820"/>
      <c r="F303" s="530" t="s">
        <v>2103</v>
      </c>
      <c r="G303" s="817"/>
      <c r="H303" s="528" t="s">
        <v>2103</v>
      </c>
      <c r="I303" s="529"/>
      <c r="J303" s="529"/>
      <c r="K303" s="820"/>
      <c r="L303" s="530" t="s">
        <v>2103</v>
      </c>
    </row>
    <row r="304" spans="1:12" ht="16" thickBot="1" x14ac:dyDescent="0.25">
      <c r="A304" s="817"/>
      <c r="B304" s="528" t="s">
        <v>2104</v>
      </c>
      <c r="C304" s="529"/>
      <c r="D304" s="529"/>
      <c r="E304" s="820"/>
      <c r="F304" s="530" t="s">
        <v>2105</v>
      </c>
      <c r="G304" s="817"/>
      <c r="H304" s="528" t="s">
        <v>2104</v>
      </c>
      <c r="I304" s="529"/>
      <c r="J304" s="529"/>
      <c r="K304" s="820"/>
      <c r="L304" s="530" t="s">
        <v>2105</v>
      </c>
    </row>
    <row r="305" spans="1:12" ht="16" thickBot="1" x14ac:dyDescent="0.25">
      <c r="A305" s="818"/>
      <c r="B305" s="531" t="s">
        <v>1993</v>
      </c>
      <c r="C305" s="532"/>
      <c r="D305" s="533">
        <v>2045911</v>
      </c>
      <c r="E305" s="821"/>
      <c r="F305" s="534" t="s">
        <v>2000</v>
      </c>
      <c r="G305" s="818"/>
      <c r="H305" s="531" t="s">
        <v>1993</v>
      </c>
      <c r="I305" s="532"/>
      <c r="J305" s="533">
        <v>1246912</v>
      </c>
      <c r="K305" s="821"/>
      <c r="L305" s="534" t="s">
        <v>2000</v>
      </c>
    </row>
    <row r="306" spans="1:12" ht="17.25" customHeight="1" x14ac:dyDescent="0.2">
      <c r="A306" s="822" t="s">
        <v>17</v>
      </c>
      <c r="B306" s="822"/>
      <c r="C306" s="822"/>
      <c r="D306" s="822"/>
      <c r="E306" s="822"/>
      <c r="F306" s="822"/>
      <c r="G306" s="823" t="s">
        <v>104</v>
      </c>
      <c r="H306" s="823"/>
      <c r="I306" s="823"/>
      <c r="J306" s="823"/>
      <c r="K306" s="823"/>
      <c r="L306" s="823"/>
    </row>
    <row r="307" spans="1:12" ht="17.25" customHeight="1" x14ac:dyDescent="0.2">
      <c r="A307" s="814" t="s">
        <v>2088</v>
      </c>
      <c r="B307" s="814"/>
      <c r="C307" s="814"/>
      <c r="D307" s="815" t="s">
        <v>2089</v>
      </c>
      <c r="E307" s="815"/>
      <c r="F307" s="815"/>
      <c r="G307" s="814" t="s">
        <v>2088</v>
      </c>
      <c r="H307" s="814"/>
      <c r="I307" s="814"/>
      <c r="J307" s="815" t="s">
        <v>2089</v>
      </c>
      <c r="K307" s="815"/>
      <c r="L307" s="815"/>
    </row>
    <row r="308" spans="1:12" x14ac:dyDescent="0.2">
      <c r="A308" s="812"/>
      <c r="B308" s="812"/>
      <c r="C308" s="813" t="s">
        <v>2090</v>
      </c>
      <c r="D308" s="813"/>
      <c r="E308" s="812"/>
      <c r="F308" s="812"/>
      <c r="G308" s="812"/>
      <c r="H308" s="812"/>
      <c r="I308" s="813" t="s">
        <v>2090</v>
      </c>
      <c r="J308" s="813"/>
      <c r="K308" s="812"/>
      <c r="L308" s="812"/>
    </row>
    <row r="309" spans="1:12" x14ac:dyDescent="0.2">
      <c r="A309" s="812"/>
      <c r="B309" s="812"/>
      <c r="C309" s="527" t="s">
        <v>2091</v>
      </c>
      <c r="D309" s="527" t="s">
        <v>1505</v>
      </c>
      <c r="E309" s="812"/>
      <c r="F309" s="812"/>
      <c r="G309" s="812"/>
      <c r="H309" s="812"/>
      <c r="I309" s="527" t="s">
        <v>2091</v>
      </c>
      <c r="J309" s="527" t="s">
        <v>1505</v>
      </c>
      <c r="K309" s="812"/>
      <c r="L309" s="812"/>
    </row>
    <row r="310" spans="1:12" ht="16" thickBot="1" x14ac:dyDescent="0.25">
      <c r="A310" s="528" t="s">
        <v>2131</v>
      </c>
      <c r="B310" s="531" t="s">
        <v>1993</v>
      </c>
      <c r="C310" s="532"/>
      <c r="D310" s="533">
        <v>2047436</v>
      </c>
      <c r="E310" s="530" t="s">
        <v>2132</v>
      </c>
      <c r="F310" s="534" t="s">
        <v>2000</v>
      </c>
      <c r="G310" s="528" t="s">
        <v>2131</v>
      </c>
      <c r="H310" s="531" t="s">
        <v>1993</v>
      </c>
      <c r="I310" s="532"/>
      <c r="J310" s="533">
        <v>2242516</v>
      </c>
      <c r="K310" s="530" t="s">
        <v>2132</v>
      </c>
      <c r="L310" s="534" t="s">
        <v>2000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baseColWidth="10" defaultColWidth="9.3984375" defaultRowHeight="15" x14ac:dyDescent="0.2"/>
  <cols>
    <col min="1" max="1" width="45.59765625" style="536" customWidth="1" collapsed="1"/>
    <col min="2" max="2" width="33.3984375" style="536" customWidth="1" collapsed="1"/>
    <col min="3" max="3" width="39.3984375" style="536" customWidth="1" collapsed="1"/>
    <col min="4" max="16384" width="9.3984375" style="536" collapsed="1"/>
  </cols>
  <sheetData>
    <row r="1" spans="1:3" ht="34.5" customHeight="1" x14ac:dyDescent="0.2">
      <c r="A1" s="545" t="s">
        <v>2133</v>
      </c>
      <c r="B1" s="546"/>
      <c r="C1" s="546"/>
    </row>
    <row r="3" spans="1:3" ht="17.25" customHeight="1" x14ac:dyDescent="0.2">
      <c r="A3" s="535" t="s">
        <v>1680</v>
      </c>
      <c r="B3" s="547" t="s">
        <v>1681</v>
      </c>
      <c r="C3" s="547"/>
    </row>
    <row r="4" spans="1:3" x14ac:dyDescent="0.2">
      <c r="A4" s="537"/>
      <c r="B4" s="538" t="s">
        <v>102</v>
      </c>
    </row>
    <row r="5" spans="1:3" ht="16" thickBot="1" x14ac:dyDescent="0.25">
      <c r="A5" s="539" t="s">
        <v>1680</v>
      </c>
      <c r="B5" s="540"/>
      <c r="C5" s="541" t="s">
        <v>1681</v>
      </c>
    </row>
    <row r="6" spans="1:3" ht="75" customHeight="1" thickBot="1" x14ac:dyDescent="0.25">
      <c r="A6" s="542" t="s">
        <v>2134</v>
      </c>
      <c r="B6" s="543" t="s">
        <v>2172</v>
      </c>
      <c r="C6" s="544"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baseColWidth="10" defaultColWidth="9" defaultRowHeight="12" x14ac:dyDescent="0.15"/>
  <sheetData>
    <row r="1" spans="1:20" x14ac:dyDescent="0.15">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x14ac:dyDescent="0.15">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x14ac:dyDescent="0.15">
      <c r="D3" t="s">
        <v>114</v>
      </c>
      <c r="E3" t="s">
        <v>117</v>
      </c>
      <c r="F3" t="s">
        <v>123</v>
      </c>
      <c r="G3" t="s">
        <v>127</v>
      </c>
      <c r="H3" t="s">
        <v>133</v>
      </c>
      <c r="J3" t="s">
        <v>139</v>
      </c>
      <c r="K3" t="s">
        <v>144</v>
      </c>
      <c r="L3" t="s">
        <v>273</v>
      </c>
      <c r="M3" t="s">
        <v>342</v>
      </c>
      <c r="N3" t="s">
        <v>377</v>
      </c>
      <c r="O3" t="s">
        <v>389</v>
      </c>
      <c r="Q3" t="s">
        <v>393</v>
      </c>
      <c r="R3" t="s">
        <v>397</v>
      </c>
      <c r="T3" t="s">
        <v>407</v>
      </c>
    </row>
    <row r="4" spans="1:20" x14ac:dyDescent="0.15">
      <c r="E4" t="s">
        <v>118</v>
      </c>
      <c r="F4" t="s">
        <v>124</v>
      </c>
      <c r="G4" t="s">
        <v>128</v>
      </c>
      <c r="H4" t="s">
        <v>134</v>
      </c>
      <c r="J4" t="s">
        <v>140</v>
      </c>
      <c r="K4" t="s">
        <v>145</v>
      </c>
      <c r="L4" t="s">
        <v>274</v>
      </c>
      <c r="M4" t="s">
        <v>343</v>
      </c>
      <c r="N4" t="s">
        <v>378</v>
      </c>
      <c r="O4" t="s">
        <v>390</v>
      </c>
      <c r="Q4" t="s">
        <v>394</v>
      </c>
      <c r="R4" t="s">
        <v>398</v>
      </c>
      <c r="T4" t="s">
        <v>408</v>
      </c>
    </row>
    <row r="5" spans="1:20" x14ac:dyDescent="0.15">
      <c r="E5" t="s">
        <v>119</v>
      </c>
      <c r="G5" t="s">
        <v>129</v>
      </c>
      <c r="J5" t="s">
        <v>141</v>
      </c>
      <c r="K5" t="s">
        <v>146</v>
      </c>
      <c r="L5" t="s">
        <v>275</v>
      </c>
      <c r="M5" t="s">
        <v>344</v>
      </c>
      <c r="N5" t="s">
        <v>379</v>
      </c>
      <c r="R5" t="s">
        <v>399</v>
      </c>
      <c r="T5" t="s">
        <v>409</v>
      </c>
    </row>
    <row r="6" spans="1:20" x14ac:dyDescent="0.15">
      <c r="E6" t="s">
        <v>120</v>
      </c>
      <c r="G6" t="s">
        <v>130</v>
      </c>
      <c r="K6" t="s">
        <v>147</v>
      </c>
      <c r="L6" t="s">
        <v>276</v>
      </c>
      <c r="M6" t="s">
        <v>345</v>
      </c>
      <c r="N6" t="s">
        <v>380</v>
      </c>
      <c r="R6" t="s">
        <v>400</v>
      </c>
      <c r="T6" t="s">
        <v>410</v>
      </c>
    </row>
    <row r="7" spans="1:20" x14ac:dyDescent="0.15">
      <c r="K7" t="s">
        <v>148</v>
      </c>
      <c r="L7" t="s">
        <v>277</v>
      </c>
      <c r="M7" t="s">
        <v>346</v>
      </c>
      <c r="N7" t="s">
        <v>381</v>
      </c>
      <c r="R7" t="s">
        <v>401</v>
      </c>
      <c r="T7" t="s">
        <v>411</v>
      </c>
    </row>
    <row r="8" spans="1:20" x14ac:dyDescent="0.15">
      <c r="K8" t="s">
        <v>149</v>
      </c>
      <c r="L8" t="s">
        <v>278</v>
      </c>
      <c r="M8" t="s">
        <v>347</v>
      </c>
      <c r="N8" t="s">
        <v>382</v>
      </c>
      <c r="R8" t="s">
        <v>402</v>
      </c>
      <c r="T8" t="s">
        <v>412</v>
      </c>
    </row>
    <row r="9" spans="1:20" x14ac:dyDescent="0.15">
      <c r="K9" t="s">
        <v>150</v>
      </c>
      <c r="L9" t="s">
        <v>279</v>
      </c>
      <c r="M9" t="s">
        <v>348</v>
      </c>
      <c r="N9" t="s">
        <v>383</v>
      </c>
    </row>
    <row r="10" spans="1:20" x14ac:dyDescent="0.15">
      <c r="K10" t="s">
        <v>151</v>
      </c>
      <c r="L10" t="s">
        <v>280</v>
      </c>
      <c r="M10" t="s">
        <v>349</v>
      </c>
      <c r="N10" t="s">
        <v>384</v>
      </c>
    </row>
    <row r="11" spans="1:20" x14ac:dyDescent="0.15">
      <c r="K11" t="s">
        <v>152</v>
      </c>
      <c r="L11" t="s">
        <v>281</v>
      </c>
      <c r="M11" t="s">
        <v>350</v>
      </c>
      <c r="N11" t="s">
        <v>385</v>
      </c>
    </row>
    <row r="12" spans="1:20" x14ac:dyDescent="0.15">
      <c r="K12" t="s">
        <v>153</v>
      </c>
      <c r="L12" t="s">
        <v>282</v>
      </c>
      <c r="M12" t="s">
        <v>351</v>
      </c>
      <c r="N12" t="s">
        <v>386</v>
      </c>
    </row>
    <row r="13" spans="1:20" x14ac:dyDescent="0.15">
      <c r="K13" t="s">
        <v>154</v>
      </c>
      <c r="L13" t="s">
        <v>283</v>
      </c>
      <c r="M13" t="s">
        <v>352</v>
      </c>
    </row>
    <row r="14" spans="1:20" x14ac:dyDescent="0.15">
      <c r="K14" t="s">
        <v>155</v>
      </c>
      <c r="L14" t="s">
        <v>284</v>
      </c>
      <c r="M14" t="s">
        <v>353</v>
      </c>
    </row>
    <row r="15" spans="1:20" x14ac:dyDescent="0.15">
      <c r="K15" t="s">
        <v>156</v>
      </c>
      <c r="L15" t="s">
        <v>285</v>
      </c>
      <c r="M15" t="s">
        <v>354</v>
      </c>
    </row>
    <row r="16" spans="1:20" x14ac:dyDescent="0.15">
      <c r="K16" t="s">
        <v>157</v>
      </c>
      <c r="L16" t="s">
        <v>286</v>
      </c>
      <c r="M16" t="s">
        <v>355</v>
      </c>
    </row>
    <row r="17" spans="11:13" x14ac:dyDescent="0.15">
      <c r="K17" t="s">
        <v>158</v>
      </c>
      <c r="L17" t="s">
        <v>287</v>
      </c>
      <c r="M17" t="s">
        <v>356</v>
      </c>
    </row>
    <row r="18" spans="11:13" x14ac:dyDescent="0.15">
      <c r="K18" t="s">
        <v>159</v>
      </c>
      <c r="L18" t="s">
        <v>288</v>
      </c>
      <c r="M18" t="s">
        <v>357</v>
      </c>
    </row>
    <row r="19" spans="11:13" x14ac:dyDescent="0.15">
      <c r="K19" t="s">
        <v>160</v>
      </c>
      <c r="L19" t="s">
        <v>289</v>
      </c>
      <c r="M19" t="s">
        <v>358</v>
      </c>
    </row>
    <row r="20" spans="11:13" x14ac:dyDescent="0.15">
      <c r="K20" t="s">
        <v>161</v>
      </c>
      <c r="L20" t="s">
        <v>290</v>
      </c>
      <c r="M20" t="s">
        <v>359</v>
      </c>
    </row>
    <row r="21" spans="11:13" x14ac:dyDescent="0.15">
      <c r="K21" t="s">
        <v>162</v>
      </c>
      <c r="L21" t="s">
        <v>291</v>
      </c>
      <c r="M21" t="s">
        <v>360</v>
      </c>
    </row>
    <row r="22" spans="11:13" x14ac:dyDescent="0.15">
      <c r="K22" t="s">
        <v>163</v>
      </c>
      <c r="L22" t="s">
        <v>292</v>
      </c>
      <c r="M22" t="s">
        <v>361</v>
      </c>
    </row>
    <row r="23" spans="11:13" x14ac:dyDescent="0.15">
      <c r="K23" t="s">
        <v>164</v>
      </c>
      <c r="L23" t="s">
        <v>293</v>
      </c>
      <c r="M23" t="s">
        <v>362</v>
      </c>
    </row>
    <row r="24" spans="11:13" x14ac:dyDescent="0.15">
      <c r="K24" t="s">
        <v>165</v>
      </c>
      <c r="L24" t="s">
        <v>294</v>
      </c>
      <c r="M24" t="s">
        <v>363</v>
      </c>
    </row>
    <row r="25" spans="11:13" x14ac:dyDescent="0.15">
      <c r="K25" t="s">
        <v>166</v>
      </c>
      <c r="L25" t="s">
        <v>295</v>
      </c>
      <c r="M25" t="s">
        <v>364</v>
      </c>
    </row>
    <row r="26" spans="11:13" x14ac:dyDescent="0.15">
      <c r="K26" t="s">
        <v>167</v>
      </c>
      <c r="L26" t="s">
        <v>296</v>
      </c>
      <c r="M26" t="s">
        <v>365</v>
      </c>
    </row>
    <row r="27" spans="11:13" x14ac:dyDescent="0.15">
      <c r="K27" t="s">
        <v>168</v>
      </c>
      <c r="L27" t="s">
        <v>297</v>
      </c>
      <c r="M27" t="s">
        <v>366</v>
      </c>
    </row>
    <row r="28" spans="11:13" x14ac:dyDescent="0.15">
      <c r="K28" t="s">
        <v>169</v>
      </c>
      <c r="L28" t="s">
        <v>298</v>
      </c>
      <c r="M28" t="s">
        <v>367</v>
      </c>
    </row>
    <row r="29" spans="11:13" x14ac:dyDescent="0.15">
      <c r="K29" t="s">
        <v>170</v>
      </c>
      <c r="L29" t="s">
        <v>299</v>
      </c>
      <c r="M29" t="s">
        <v>368</v>
      </c>
    </row>
    <row r="30" spans="11:13" x14ac:dyDescent="0.15">
      <c r="K30" t="s">
        <v>171</v>
      </c>
      <c r="L30" t="s">
        <v>300</v>
      </c>
      <c r="M30" t="s">
        <v>369</v>
      </c>
    </row>
    <row r="31" spans="11:13" x14ac:dyDescent="0.15">
      <c r="K31" t="s">
        <v>172</v>
      </c>
      <c r="L31" t="s">
        <v>301</v>
      </c>
      <c r="M31" t="s">
        <v>370</v>
      </c>
    </row>
    <row r="32" spans="11:13" x14ac:dyDescent="0.15">
      <c r="K32" t="s">
        <v>173</v>
      </c>
      <c r="L32" t="s">
        <v>302</v>
      </c>
      <c r="M32" t="s">
        <v>371</v>
      </c>
    </row>
    <row r="33" spans="11:13" x14ac:dyDescent="0.15">
      <c r="K33" t="s">
        <v>174</v>
      </c>
      <c r="L33" t="s">
        <v>303</v>
      </c>
      <c r="M33" t="s">
        <v>372</v>
      </c>
    </row>
    <row r="34" spans="11:13" x14ac:dyDescent="0.15">
      <c r="K34" t="s">
        <v>175</v>
      </c>
      <c r="L34" t="s">
        <v>304</v>
      </c>
      <c r="M34" t="s">
        <v>373</v>
      </c>
    </row>
    <row r="35" spans="11:13" x14ac:dyDescent="0.15">
      <c r="K35" t="s">
        <v>176</v>
      </c>
      <c r="L35" t="s">
        <v>305</v>
      </c>
      <c r="M35" t="s">
        <v>374</v>
      </c>
    </row>
    <row r="36" spans="11:13" x14ac:dyDescent="0.15">
      <c r="K36" t="s">
        <v>177</v>
      </c>
      <c r="L36" t="s">
        <v>306</v>
      </c>
    </row>
    <row r="37" spans="11:13" x14ac:dyDescent="0.15">
      <c r="K37" t="s">
        <v>178</v>
      </c>
      <c r="L37" t="s">
        <v>307</v>
      </c>
    </row>
    <row r="38" spans="11:13" x14ac:dyDescent="0.15">
      <c r="K38" t="s">
        <v>179</v>
      </c>
      <c r="L38" t="s">
        <v>308</v>
      </c>
    </row>
    <row r="39" spans="11:13" x14ac:dyDescent="0.15">
      <c r="K39" t="s">
        <v>180</v>
      </c>
      <c r="L39" t="s">
        <v>309</v>
      </c>
    </row>
    <row r="40" spans="11:13" x14ac:dyDescent="0.15">
      <c r="K40" t="s">
        <v>181</v>
      </c>
      <c r="L40" t="s">
        <v>310</v>
      </c>
    </row>
    <row r="41" spans="11:13" x14ac:dyDescent="0.15">
      <c r="K41" t="s">
        <v>182</v>
      </c>
      <c r="L41" t="s">
        <v>311</v>
      </c>
    </row>
    <row r="42" spans="11:13" x14ac:dyDescent="0.15">
      <c r="K42" t="s">
        <v>183</v>
      </c>
      <c r="L42" t="s">
        <v>312</v>
      </c>
    </row>
    <row r="43" spans="11:13" x14ac:dyDescent="0.15">
      <c r="K43" t="s">
        <v>184</v>
      </c>
      <c r="L43" t="s">
        <v>313</v>
      </c>
    </row>
    <row r="44" spans="11:13" x14ac:dyDescent="0.15">
      <c r="K44" t="s">
        <v>185</v>
      </c>
      <c r="L44" t="s">
        <v>314</v>
      </c>
    </row>
    <row r="45" spans="11:13" x14ac:dyDescent="0.15">
      <c r="K45" t="s">
        <v>186</v>
      </c>
      <c r="L45" t="s">
        <v>315</v>
      </c>
    </row>
    <row r="46" spans="11:13" x14ac:dyDescent="0.15">
      <c r="K46" t="s">
        <v>187</v>
      </c>
      <c r="L46" t="s">
        <v>316</v>
      </c>
    </row>
    <row r="47" spans="11:13" x14ac:dyDescent="0.15">
      <c r="K47" t="s">
        <v>188</v>
      </c>
      <c r="L47" t="s">
        <v>317</v>
      </c>
    </row>
    <row r="48" spans="11:13" x14ac:dyDescent="0.15">
      <c r="K48" t="s">
        <v>189</v>
      </c>
      <c r="L48" t="s">
        <v>318</v>
      </c>
    </row>
    <row r="49" spans="11:12" x14ac:dyDescent="0.15">
      <c r="K49" t="s">
        <v>190</v>
      </c>
      <c r="L49" t="s">
        <v>319</v>
      </c>
    </row>
    <row r="50" spans="11:12" x14ac:dyDescent="0.15">
      <c r="K50" t="s">
        <v>191</v>
      </c>
      <c r="L50" t="s">
        <v>320</v>
      </c>
    </row>
    <row r="51" spans="11:12" x14ac:dyDescent="0.15">
      <c r="K51" t="s">
        <v>192</v>
      </c>
      <c r="L51" t="s">
        <v>321</v>
      </c>
    </row>
    <row r="52" spans="11:12" x14ac:dyDescent="0.15">
      <c r="K52" t="s">
        <v>193</v>
      </c>
      <c r="L52" t="s">
        <v>322</v>
      </c>
    </row>
    <row r="53" spans="11:12" x14ac:dyDescent="0.15">
      <c r="K53" t="s">
        <v>194</v>
      </c>
      <c r="L53" t="s">
        <v>323</v>
      </c>
    </row>
    <row r="54" spans="11:12" x14ac:dyDescent="0.15">
      <c r="K54" t="s">
        <v>195</v>
      </c>
      <c r="L54" t="s">
        <v>324</v>
      </c>
    </row>
    <row r="55" spans="11:12" x14ac:dyDescent="0.15">
      <c r="K55" t="s">
        <v>196</v>
      </c>
      <c r="L55" t="s">
        <v>325</v>
      </c>
    </row>
    <row r="56" spans="11:12" x14ac:dyDescent="0.15">
      <c r="K56" t="s">
        <v>197</v>
      </c>
      <c r="L56" t="s">
        <v>326</v>
      </c>
    </row>
    <row r="57" spans="11:12" x14ac:dyDescent="0.15">
      <c r="K57" t="s">
        <v>198</v>
      </c>
      <c r="L57" t="s">
        <v>327</v>
      </c>
    </row>
    <row r="58" spans="11:12" x14ac:dyDescent="0.15">
      <c r="K58" t="s">
        <v>199</v>
      </c>
      <c r="L58" t="s">
        <v>328</v>
      </c>
    </row>
    <row r="59" spans="11:12" x14ac:dyDescent="0.15">
      <c r="K59" t="s">
        <v>200</v>
      </c>
      <c r="L59" t="s">
        <v>329</v>
      </c>
    </row>
    <row r="60" spans="11:12" x14ac:dyDescent="0.15">
      <c r="K60" t="s">
        <v>201</v>
      </c>
      <c r="L60" t="s">
        <v>330</v>
      </c>
    </row>
    <row r="61" spans="11:12" x14ac:dyDescent="0.15">
      <c r="K61" t="s">
        <v>202</v>
      </c>
      <c r="L61" t="s">
        <v>331</v>
      </c>
    </row>
    <row r="62" spans="11:12" x14ac:dyDescent="0.15">
      <c r="K62" t="s">
        <v>203</v>
      </c>
      <c r="L62" t="s">
        <v>332</v>
      </c>
    </row>
    <row r="63" spans="11:12" x14ac:dyDescent="0.15">
      <c r="K63" t="s">
        <v>204</v>
      </c>
      <c r="L63" t="s">
        <v>333</v>
      </c>
    </row>
    <row r="64" spans="11:12" x14ac:dyDescent="0.15">
      <c r="K64" t="s">
        <v>205</v>
      </c>
      <c r="L64" t="s">
        <v>334</v>
      </c>
    </row>
    <row r="65" spans="11:12" x14ac:dyDescent="0.15">
      <c r="K65" t="s">
        <v>206</v>
      </c>
      <c r="L65" t="s">
        <v>335</v>
      </c>
    </row>
    <row r="66" spans="11:12" x14ac:dyDescent="0.15">
      <c r="K66" t="s">
        <v>207</v>
      </c>
      <c r="L66" t="s">
        <v>336</v>
      </c>
    </row>
    <row r="67" spans="11:12" x14ac:dyDescent="0.15">
      <c r="K67" t="s">
        <v>208</v>
      </c>
      <c r="L67" t="s">
        <v>337</v>
      </c>
    </row>
    <row r="68" spans="11:12" x14ac:dyDescent="0.15">
      <c r="K68" t="s">
        <v>209</v>
      </c>
      <c r="L68" t="s">
        <v>338</v>
      </c>
    </row>
    <row r="69" spans="11:12" x14ac:dyDescent="0.15">
      <c r="K69" t="s">
        <v>210</v>
      </c>
      <c r="L69" t="s">
        <v>339</v>
      </c>
    </row>
    <row r="70" spans="11:12" x14ac:dyDescent="0.15">
      <c r="K70" t="s">
        <v>211</v>
      </c>
    </row>
    <row r="71" spans="11:12" x14ac:dyDescent="0.15">
      <c r="K71" t="s">
        <v>212</v>
      </c>
    </row>
    <row r="72" spans="11:12" x14ac:dyDescent="0.15">
      <c r="K72" t="s">
        <v>213</v>
      </c>
    </row>
    <row r="73" spans="11:12" x14ac:dyDescent="0.15">
      <c r="K73" t="s">
        <v>214</v>
      </c>
    </row>
    <row r="74" spans="11:12" x14ac:dyDescent="0.15">
      <c r="K74" t="s">
        <v>215</v>
      </c>
    </row>
    <row r="75" spans="11:12" x14ac:dyDescent="0.15">
      <c r="K75" t="s">
        <v>216</v>
      </c>
    </row>
    <row r="76" spans="11:12" x14ac:dyDescent="0.15">
      <c r="K76" t="s">
        <v>217</v>
      </c>
    </row>
    <row r="77" spans="11:12" x14ac:dyDescent="0.15">
      <c r="K77" t="s">
        <v>218</v>
      </c>
    </row>
    <row r="78" spans="11:12" x14ac:dyDescent="0.15">
      <c r="K78" t="s">
        <v>219</v>
      </c>
    </row>
    <row r="79" spans="11:12" x14ac:dyDescent="0.15">
      <c r="K79" t="s">
        <v>220</v>
      </c>
    </row>
    <row r="80" spans="11:12" x14ac:dyDescent="0.15">
      <c r="K80" t="s">
        <v>221</v>
      </c>
    </row>
    <row r="81" spans="11:11" x14ac:dyDescent="0.15">
      <c r="K81" t="s">
        <v>222</v>
      </c>
    </row>
    <row r="82" spans="11:11" x14ac:dyDescent="0.15">
      <c r="K82" t="s">
        <v>223</v>
      </c>
    </row>
    <row r="83" spans="11:11" x14ac:dyDescent="0.15">
      <c r="K83" t="s">
        <v>224</v>
      </c>
    </row>
    <row r="84" spans="11:11" x14ac:dyDescent="0.15">
      <c r="K84" t="s">
        <v>225</v>
      </c>
    </row>
    <row r="85" spans="11:11" x14ac:dyDescent="0.15">
      <c r="K85" t="s">
        <v>226</v>
      </c>
    </row>
    <row r="86" spans="11:11" x14ac:dyDescent="0.15">
      <c r="K86" t="s">
        <v>227</v>
      </c>
    </row>
    <row r="87" spans="11:11" x14ac:dyDescent="0.15">
      <c r="K87" t="s">
        <v>228</v>
      </c>
    </row>
    <row r="88" spans="11:11" x14ac:dyDescent="0.15">
      <c r="K88" t="s">
        <v>229</v>
      </c>
    </row>
    <row r="89" spans="11:11" x14ac:dyDescent="0.15">
      <c r="K89" t="s">
        <v>230</v>
      </c>
    </row>
    <row r="90" spans="11:11" x14ac:dyDescent="0.15">
      <c r="K90" t="s">
        <v>231</v>
      </c>
    </row>
    <row r="91" spans="11:11" x14ac:dyDescent="0.15">
      <c r="K91" t="s">
        <v>232</v>
      </c>
    </row>
    <row r="92" spans="11:11" x14ac:dyDescent="0.15">
      <c r="K92" t="s">
        <v>233</v>
      </c>
    </row>
    <row r="93" spans="11:11" x14ac:dyDescent="0.15">
      <c r="K93" t="s">
        <v>234</v>
      </c>
    </row>
    <row r="94" spans="11:11" x14ac:dyDescent="0.15">
      <c r="K94" t="s">
        <v>235</v>
      </c>
    </row>
    <row r="95" spans="11:11" x14ac:dyDescent="0.15">
      <c r="K95" t="s">
        <v>236</v>
      </c>
    </row>
    <row r="96" spans="11:11" x14ac:dyDescent="0.15">
      <c r="K96" t="s">
        <v>237</v>
      </c>
    </row>
    <row r="97" spans="11:11" x14ac:dyDescent="0.15">
      <c r="K97" t="s">
        <v>238</v>
      </c>
    </row>
    <row r="98" spans="11:11" x14ac:dyDescent="0.15">
      <c r="K98" t="s">
        <v>239</v>
      </c>
    </row>
    <row r="99" spans="11:11" x14ac:dyDescent="0.15">
      <c r="K99" t="s">
        <v>240</v>
      </c>
    </row>
    <row r="100" spans="11:11" x14ac:dyDescent="0.15">
      <c r="K100" t="s">
        <v>241</v>
      </c>
    </row>
    <row r="101" spans="11:11" x14ac:dyDescent="0.15">
      <c r="K101" t="s">
        <v>242</v>
      </c>
    </row>
    <row r="102" spans="11:11" x14ac:dyDescent="0.15">
      <c r="K102" t="s">
        <v>243</v>
      </c>
    </row>
    <row r="103" spans="11:11" x14ac:dyDescent="0.15">
      <c r="K103" t="s">
        <v>244</v>
      </c>
    </row>
    <row r="104" spans="11:11" x14ac:dyDescent="0.15">
      <c r="K104" t="s">
        <v>245</v>
      </c>
    </row>
    <row r="105" spans="11:11" x14ac:dyDescent="0.15">
      <c r="K105" t="s">
        <v>246</v>
      </c>
    </row>
    <row r="106" spans="11:11" x14ac:dyDescent="0.15">
      <c r="K106" t="s">
        <v>247</v>
      </c>
    </row>
    <row r="107" spans="11:11" x14ac:dyDescent="0.15">
      <c r="K107" t="s">
        <v>248</v>
      </c>
    </row>
    <row r="108" spans="11:11" x14ac:dyDescent="0.15">
      <c r="K108" t="s">
        <v>249</v>
      </c>
    </row>
    <row r="109" spans="11:11" x14ac:dyDescent="0.15">
      <c r="K109" t="s">
        <v>250</v>
      </c>
    </row>
    <row r="110" spans="11:11" x14ac:dyDescent="0.15">
      <c r="K110" t="s">
        <v>251</v>
      </c>
    </row>
    <row r="111" spans="11:11" x14ac:dyDescent="0.15">
      <c r="K111" t="s">
        <v>252</v>
      </c>
    </row>
    <row r="112" spans="11:11" x14ac:dyDescent="0.15">
      <c r="K112" t="s">
        <v>253</v>
      </c>
    </row>
    <row r="113" spans="11:11" x14ac:dyDescent="0.15">
      <c r="K113" t="s">
        <v>254</v>
      </c>
    </row>
    <row r="114" spans="11:11" x14ac:dyDescent="0.15">
      <c r="K114" t="s">
        <v>255</v>
      </c>
    </row>
    <row r="115" spans="11:11" x14ac:dyDescent="0.15">
      <c r="K115" t="s">
        <v>256</v>
      </c>
    </row>
    <row r="116" spans="11:11" x14ac:dyDescent="0.15">
      <c r="K116" t="s">
        <v>257</v>
      </c>
    </row>
    <row r="117" spans="11:11" x14ac:dyDescent="0.15">
      <c r="K117" t="s">
        <v>258</v>
      </c>
    </row>
    <row r="118" spans="11:11" x14ac:dyDescent="0.15">
      <c r="K118" t="s">
        <v>259</v>
      </c>
    </row>
    <row r="119" spans="11:11" x14ac:dyDescent="0.15">
      <c r="K119" t="s">
        <v>260</v>
      </c>
    </row>
    <row r="120" spans="11:11" x14ac:dyDescent="0.15">
      <c r="K120" t="s">
        <v>261</v>
      </c>
    </row>
    <row r="121" spans="11:11" x14ac:dyDescent="0.15">
      <c r="K121" t="s">
        <v>262</v>
      </c>
    </row>
    <row r="122" spans="11:11" x14ac:dyDescent="0.15">
      <c r="K122" t="s">
        <v>263</v>
      </c>
    </row>
    <row r="123" spans="11:11" x14ac:dyDescent="0.15">
      <c r="K123" t="s">
        <v>264</v>
      </c>
    </row>
    <row r="124" spans="11:11" x14ac:dyDescent="0.15">
      <c r="K124" t="s">
        <v>265</v>
      </c>
    </row>
    <row r="125" spans="11:11" x14ac:dyDescent="0.15">
      <c r="K125" t="s">
        <v>266</v>
      </c>
    </row>
    <row r="126" spans="11:11" x14ac:dyDescent="0.15">
      <c r="K126" t="s">
        <v>267</v>
      </c>
    </row>
    <row r="127" spans="11:11" x14ac:dyDescent="0.15">
      <c r="K127" t="s">
        <v>268</v>
      </c>
    </row>
    <row r="128" spans="11:11" x14ac:dyDescent="0.15">
      <c r="K128" t="s">
        <v>269</v>
      </c>
    </row>
    <row r="129" spans="11:11" x14ac:dyDescent="0.15">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baseColWidth="10" defaultColWidth="9" defaultRowHeight="12" x14ac:dyDescent="0.15"/>
  <sheetData>
    <row r="1" spans="1:1" x14ac:dyDescent="0.15">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25</vt:i4>
      </vt:variant>
      <vt:variant>
        <vt:lpstr>Named Ranges</vt:lpstr>
      </vt:variant>
      <vt:variant>
        <vt:i4>8202</vt:i4>
      </vt:variant>
    </vt:vector>
  </HeadingPairs>
  <TitlesOfParts>
    <vt:vector size="8227" baseType="lpstr">
      <vt:lpstr>1000000</vt:lpstr>
      <vt:lpstr>4220000</vt:lpstr>
      <vt:lpstr>4322000</vt:lpstr>
      <vt:lpstr>4410000</vt:lpstr>
      <vt:lpstr>4410000PY</vt:lpstr>
      <vt:lpstr>4510000</vt:lpstr>
      <vt:lpstr>4610000</vt:lpstr>
      <vt:lpstr>4611000</vt:lpstr>
      <vt:lpstr>4611000PY</vt:lpstr>
      <vt:lpstr>4611100</vt:lpstr>
      <vt:lpstr>4614100</vt:lpstr>
      <vt:lpstr>4614110</vt:lpstr>
      <vt:lpstr>4621100</vt:lpstr>
      <vt:lpstr>4622100</vt:lpstr>
      <vt:lpstr>4623100</vt:lpstr>
      <vt:lpstr>4624100</vt:lpstr>
      <vt:lpstr>4624110</vt:lpstr>
      <vt:lpstr>4631100</vt:lpstr>
      <vt:lpstr>4631110</vt:lpstr>
      <vt:lpstr>4632100</vt:lpstr>
      <vt:lpstr>4632110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Ahmad Rizky Maryadi</cp:lastModifiedBy>
  <dcterms:created xsi:type="dcterms:W3CDTF">2024-08-08T04:12:52Z</dcterms:created>
  <dcterms:modified xsi:type="dcterms:W3CDTF">2026-09-12T00:40:47Z</dcterms:modified>
</cp:coreProperties>
</file>